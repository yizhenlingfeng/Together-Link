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优化表" sheetId="2" state="visible" r:id="rId2"/>
    <sheet xmlns:r="http://schemas.openxmlformats.org/officeDocument/2006/relationships" name="测算模型" sheetId="3" state="visible" r:id="rId3"/>
    <sheet xmlns:r="http://schemas.openxmlformats.org/officeDocument/2006/relationships" name="实施路线" sheetId="4" state="visible" r:id="rId4"/>
    <sheet xmlns:r="http://schemas.openxmlformats.org/officeDocument/2006/relationships" name="风险与兼容" sheetId="5" state="visible" r:id="rId5"/>
    <sheet xmlns:r="http://schemas.openxmlformats.org/officeDocument/2006/relationships" name="设置审查" sheetId="6" state="visible" r:id="rId6"/>
  </sheets>
  <definedNames>
    <definedName name="_xlnm._FilterDatabase" localSheetId="1" hidden="1">'优化表'!$A$4:$L$30</definedName>
    <definedName name="_xlnm.Print_Titles" localSheetId="1">'优化表'!$4:$4</definedName>
    <definedName name="_xlnm.Print_Titles" localSheetId="3">'实施路线'!$3:$3</definedName>
    <definedName name="_xlnm.Print_Area" localSheetId="3">'实施路线'!$A$1:$F$9</definedName>
    <definedName name="_xlnm.Print_Titles" localSheetId="4">'风险与兼容'!$3:$3</definedName>
    <definedName name="_xlnm.Print_Area" localSheetId="4">'风险与兼容'!$A$1:$D$11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5">
    <font>
      <name val="Calibri"/>
      <family val="2"/>
      <color theme="1"/>
      <sz val="11"/>
      <scheme val="minor"/>
    </font>
    <font>
      <name val="微软雅黑"/>
      <b val="1"/>
      <color rgb="001F3864"/>
      <sz val="18"/>
    </font>
    <font>
      <name val="微软雅黑"/>
      <color rgb="00595959"/>
      <sz val="9"/>
    </font>
    <font>
      <name val="微软雅黑"/>
      <b val="1"/>
      <color rgb="00FFFFFF"/>
      <sz val="11"/>
    </font>
    <font>
      <name val="微软雅黑"/>
      <color rgb="00000000"/>
      <sz val="10.5"/>
    </font>
    <font>
      <name val="微软雅黑"/>
      <b val="1"/>
      <color rgb="001F3864"/>
      <sz val="10"/>
    </font>
    <font>
      <name val="微软雅黑"/>
      <color rgb="00000000"/>
      <sz val="10"/>
    </font>
    <font>
      <name val="微软雅黑"/>
      <b val="1"/>
      <color rgb="00FFFFFF"/>
      <sz val="10"/>
    </font>
    <font>
      <name val="微软雅黑"/>
      <b val="1"/>
      <color rgb="00C00000"/>
      <sz val="10"/>
    </font>
    <font>
      <name val="微软雅黑"/>
      <b val="1"/>
      <color rgb="00FFFFFF"/>
      <sz val="10.5"/>
    </font>
    <font>
      <name val="微软雅黑"/>
      <b val="1"/>
      <color rgb="002F5597"/>
      <sz val="9.5"/>
    </font>
    <font>
      <name val="微软雅黑"/>
      <color rgb="00000000"/>
      <sz val="9.5"/>
    </font>
    <font>
      <name val="微软雅黑"/>
      <b val="1"/>
      <color rgb="00B45F06"/>
      <sz val="10"/>
    </font>
    <font>
      <name val="微软雅黑"/>
      <b val="1"/>
      <color rgb="00375623"/>
      <sz val="10"/>
    </font>
    <font>
      <name val="微软雅黑"/>
      <color rgb="00595959"/>
      <sz val="8.5"/>
    </font>
    <font>
      <name val="微软雅黑"/>
      <b val="1"/>
      <color rgb="001F3864"/>
      <sz val="14"/>
    </font>
    <font>
      <name val="微软雅黑"/>
      <color rgb="00595959"/>
      <sz val="8"/>
    </font>
    <font>
      <name val="微软雅黑"/>
      <b val="1"/>
      <color rgb="00FFFFFF"/>
      <sz val="9.5"/>
    </font>
    <font>
      <name val="微软雅黑"/>
      <b val="1"/>
      <color rgb="00404040"/>
      <sz val="9"/>
    </font>
    <font>
      <name val="微软雅黑"/>
      <b val="1"/>
      <color rgb="001F3864"/>
      <sz val="9.5"/>
    </font>
    <font>
      <name val="微软雅黑"/>
      <color rgb="00000000"/>
      <sz val="9"/>
    </font>
    <font>
      <name val="微软雅黑"/>
      <b val="1"/>
      <color rgb="00000000"/>
      <sz val="9.5"/>
    </font>
    <font>
      <name val="微软雅黑"/>
      <b val="1"/>
      <color rgb="00C00000"/>
      <sz val="9.5"/>
    </font>
    <font>
      <name val="微软雅黑"/>
      <b val="1"/>
      <color rgb="00B45F06"/>
      <sz val="9.5"/>
    </font>
    <font>
      <name val="微软雅黑"/>
      <b val="1"/>
      <color rgb="00375623"/>
      <sz val="9.5"/>
    </font>
    <font>
      <name val="微软雅黑"/>
      <b val="1"/>
      <color rgb="007F7F7F"/>
      <sz val="9.5"/>
    </font>
    <font>
      <name val="微软雅黑"/>
      <b val="1"/>
      <color rgb="00C00000"/>
      <sz val="10.5"/>
    </font>
    <font>
      <name val="微软雅黑"/>
      <b val="1"/>
      <color rgb="00000000"/>
      <sz val="9"/>
    </font>
    <font>
      <name val="微软雅黑"/>
      <b val="1"/>
      <color rgb="002F5597"/>
      <sz val="9"/>
    </font>
    <font>
      <name val="微软雅黑"/>
      <b val="1"/>
      <color rgb="00375623"/>
      <sz val="9"/>
    </font>
    <font>
      <name val="微软雅黑"/>
      <color rgb="00808080"/>
      <sz val="9"/>
    </font>
    <font>
      <name val="微软雅黑"/>
      <i val="1"/>
      <color rgb="00808080"/>
      <sz val="8"/>
    </font>
    <font>
      <name val="微软雅黑"/>
      <color rgb="00375623"/>
      <sz val="9"/>
    </font>
    <font>
      <name val="微软雅黑"/>
      <b val="1"/>
      <color rgb="007F6000"/>
      <sz val="9"/>
    </font>
    <font>
      <name val="微软雅黑"/>
      <color rgb="007F6000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4F7FB"/>
      </patternFill>
    </fill>
    <fill>
      <patternFill patternType="solid">
        <fgColor rgb="002F5597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C00000"/>
      </patternFill>
    </fill>
    <fill>
      <patternFill patternType="solid">
        <fgColor rgb="00B45F06"/>
      </patternFill>
    </fill>
    <fill>
      <patternFill patternType="solid">
        <fgColor rgb="00375623"/>
      </patternFill>
    </fill>
    <fill>
      <patternFill patternType="solid">
        <fgColor rgb="00F2F5FA"/>
      </patternFill>
    </fill>
  </fills>
  <borders count="7">
    <border>
      <left/>
      <right/>
      <top/>
      <bottom/>
      <diagonal/>
    </border>
    <border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  <border>
      <left/>
      <right/>
      <top style="thin">
        <color rgb="00D0D7E5"/>
      </top>
      <bottom/>
      <diagonal/>
    </border>
    <border>
      <left/>
      <right style="thin">
        <color rgb="00D0D7E5"/>
      </right>
      <top style="thin">
        <color rgb="00D0D7E5"/>
      </top>
      <bottom/>
      <diagonal/>
    </border>
    <border>
      <left/>
      <right style="thin">
        <color rgb="00D0D7E5"/>
      </right>
      <top style="thin">
        <color rgb="00D0D7E5"/>
      </top>
      <bottom style="thin">
        <color rgb="00D0D7E5"/>
      </bottom>
      <diagonal/>
    </border>
    <border>
      <left/>
      <right/>
      <top style="thin">
        <color rgb="00D0D7E5"/>
      </top>
      <bottom style="thin">
        <color rgb="00D0D7E5"/>
      </bottom>
      <diagonal/>
    </border>
    <border>
      <bottom style="thin">
        <color rgb="00D0D7E5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 indent="1"/>
    </xf>
    <xf numFmtId="0" fontId="4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 wrapText="1" indent="1"/>
    </xf>
    <xf numFmtId="0" fontId="10" fillId="4" borderId="1" applyAlignment="1" pivotButton="0" quotePrefix="0" xfId="0">
      <alignment vertical="center" wrapText="1" indent="1"/>
    </xf>
    <xf numFmtId="0" fontId="9" fillId="2" borderId="1" applyAlignment="1" pivotButton="0" quotePrefix="0" xfId="0">
      <alignment horizontal="center" vertical="center"/>
    </xf>
    <xf numFmtId="0" fontId="8" fillId="8" borderId="1" applyAlignment="1" pivotButton="0" quotePrefix="0" xfId="0">
      <alignment vertical="center" wrapText="1" indent="1"/>
    </xf>
    <xf numFmtId="0" fontId="10" fillId="6" borderId="1" applyAlignment="1" pivotButton="0" quotePrefix="0" xfId="0">
      <alignment vertical="center" wrapText="1" indent="1"/>
    </xf>
    <xf numFmtId="0" fontId="11" fillId="0" borderId="0" applyAlignment="1" pivotButton="0" quotePrefix="0" xfId="0">
      <alignment vertical="center" wrapText="1" indent="1"/>
    </xf>
    <xf numFmtId="0" fontId="12" fillId="7" borderId="1" applyAlignment="1" pivotButton="0" quotePrefix="0" xfId="0">
      <alignment vertical="center" wrapText="1" indent="1"/>
    </xf>
    <xf numFmtId="0" fontId="13" fillId="9" borderId="1" applyAlignment="1" pivotButton="0" quotePrefix="0" xfId="0">
      <alignment vertical="center" wrapText="1" inden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wrapText="1"/>
    </xf>
    <xf numFmtId="0" fontId="17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top"/>
    </xf>
    <xf numFmtId="0" fontId="18" fillId="0" borderId="1" applyAlignment="1" pivotButton="0" quotePrefix="0" xfId="0">
      <alignment horizontal="center" vertical="top" wrapText="1"/>
    </xf>
    <xf numFmtId="0" fontId="19" fillId="0" borderId="1" applyAlignment="1" pivotButton="0" quotePrefix="0" xfId="0">
      <alignment vertical="top" wrapText="1"/>
    </xf>
    <xf numFmtId="0" fontId="20" fillId="0" borderId="1" applyAlignment="1" pivotButton="0" quotePrefix="0" xfId="0">
      <alignment vertical="top" wrapText="1"/>
    </xf>
    <xf numFmtId="0" fontId="21" fillId="0" borderId="1" applyAlignment="1" pivotButton="0" quotePrefix="0" xfId="0">
      <alignment horizontal="center" vertical="top"/>
    </xf>
    <xf numFmtId="0" fontId="22" fillId="8" borderId="1" applyAlignment="1" pivotButton="0" quotePrefix="0" xfId="0">
      <alignment horizontal="center" vertical="center"/>
    </xf>
    <xf numFmtId="0" fontId="14" fillId="0" borderId="1" applyAlignment="1" pivotButton="0" quotePrefix="0" xfId="0">
      <alignment vertical="top" wrapText="1"/>
    </xf>
    <xf numFmtId="0" fontId="23" fillId="7" borderId="1" applyAlignment="1" pivotButton="0" quotePrefix="0" xfId="0">
      <alignment horizontal="center" vertical="center"/>
    </xf>
    <xf numFmtId="0" fontId="24" fillId="9" borderId="1" applyAlignment="1" pivotButton="0" quotePrefix="0" xfId="0">
      <alignment horizontal="center" vertical="center"/>
    </xf>
    <xf numFmtId="0" fontId="25" fillId="1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26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9" fillId="2" borderId="0" applyAlignment="1" pivotButton="0" quotePrefix="0" xfId="0">
      <alignment vertical="center" indent="1"/>
    </xf>
    <xf numFmtId="0" fontId="17" fillId="5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/>
    </xf>
    <xf numFmtId="0" fontId="21" fillId="7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1" fillId="0" borderId="1" applyAlignment="1" pivotButton="0" quotePrefix="0" xfId="0">
      <alignment horizontal="center"/>
    </xf>
    <xf numFmtId="0" fontId="20" fillId="0" borderId="1" applyAlignment="1" pivotButton="0" quotePrefix="0" xfId="0">
      <alignment horizontal="center"/>
    </xf>
    <xf numFmtId="4" fontId="21" fillId="0" borderId="1" applyAlignment="1" pivotButton="0" quotePrefix="0" xfId="0">
      <alignment horizontal="center"/>
    </xf>
    <xf numFmtId="4" fontId="11" fillId="0" borderId="1" applyAlignment="1" pivotButton="0" quotePrefix="0" xfId="0">
      <alignment horizontal="center"/>
    </xf>
    <xf numFmtId="4" fontId="24" fillId="0" borderId="1" applyAlignment="1" pivotButton="0" quotePrefix="0" xfId="0">
      <alignment horizontal="center"/>
    </xf>
    <xf numFmtId="164" fontId="22" fillId="0" borderId="1" applyAlignment="1" pivotButton="0" quotePrefix="0" xfId="0">
      <alignment horizontal="center"/>
    </xf>
    <xf numFmtId="0" fontId="17" fillId="2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  <xf numFmtId="0" fontId="27" fillId="0" borderId="1" applyAlignment="1" pivotButton="0" quotePrefix="0" xfId="0">
      <alignment vertical="top" wrapText="1" indent="1"/>
    </xf>
    <xf numFmtId="0" fontId="28" fillId="0" borderId="1" applyAlignment="1" pivotButton="0" quotePrefix="0" xfId="0">
      <alignment vertical="top" wrapText="1" indent="1"/>
    </xf>
    <xf numFmtId="0" fontId="20" fillId="0" borderId="1" applyAlignment="1" pivotButton="0" quotePrefix="0" xfId="0">
      <alignment vertical="top" wrapText="1" indent="1"/>
    </xf>
    <xf numFmtId="0" fontId="3" fillId="1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9" fillId="5" borderId="0" applyAlignment="1" pivotButton="0" quotePrefix="0" xfId="0">
      <alignment vertical="center"/>
    </xf>
    <xf numFmtId="0" fontId="11" fillId="3" borderId="0" applyAlignment="1" pivotButton="0" quotePrefix="0" xfId="0">
      <alignment vertical="top" wrapText="1"/>
    </xf>
    <xf numFmtId="0" fontId="11" fillId="7" borderId="0" applyAlignment="1" pivotButton="0" quotePrefix="0" xfId="0">
      <alignment vertical="top" wrapText="1"/>
    </xf>
    <xf numFmtId="0" fontId="11" fillId="9" borderId="0" applyAlignment="1" pivotButton="0" quotePrefix="0" xfId="0">
      <alignment vertical="top" wrapText="1"/>
    </xf>
    <xf numFmtId="0" fontId="17" fillId="2" borderId="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left" vertical="top" wrapText="1"/>
    </xf>
    <xf numFmtId="0" fontId="11" fillId="0" borderId="6" applyAlignment="1" pivotButton="0" quotePrefix="0" xfId="0">
      <alignment horizontal="left" vertical="top" wrapText="1"/>
    </xf>
    <xf numFmtId="0" fontId="11" fillId="0" borderId="6" applyAlignment="1" pivotButton="0" quotePrefix="0" xfId="0">
      <alignment horizontal="center" vertical="top" wrapText="1"/>
    </xf>
    <xf numFmtId="0" fontId="10" fillId="14" borderId="6" applyAlignment="1" pivotButton="0" quotePrefix="0" xfId="0">
      <alignment horizontal="left" vertical="top" wrapText="1"/>
    </xf>
    <xf numFmtId="0" fontId="11" fillId="14" borderId="6" applyAlignment="1" pivotButton="0" quotePrefix="0" xfId="0">
      <alignment horizontal="left" vertical="top" wrapText="1"/>
    </xf>
    <xf numFmtId="0" fontId="11" fillId="14" borderId="6" applyAlignment="1" pivotButton="0" quotePrefix="0" xfId="0">
      <alignment horizontal="center" vertical="top" wrapText="1"/>
    </xf>
    <xf numFmtId="0" fontId="10" fillId="8" borderId="6" applyAlignment="1" pivotButton="0" quotePrefix="0" xfId="0">
      <alignment horizontal="left" vertical="top" wrapText="1"/>
    </xf>
    <xf numFmtId="0" fontId="11" fillId="8" borderId="6" applyAlignment="1" pivotButton="0" quotePrefix="0" xfId="0">
      <alignment horizontal="left" vertical="top" wrapText="1"/>
    </xf>
    <xf numFmtId="0" fontId="11" fillId="8" borderId="6" applyAlignment="1" pivotButton="0" quotePrefix="0" xfId="0">
      <alignment horizontal="center" vertical="top" wrapText="1"/>
    </xf>
    <xf numFmtId="0" fontId="10" fillId="9" borderId="6" applyAlignment="1" pivotButton="0" quotePrefix="0" xfId="0">
      <alignment horizontal="left" vertical="top" wrapText="1"/>
    </xf>
    <xf numFmtId="0" fontId="11" fillId="9" borderId="6" applyAlignment="1" pivotButton="0" quotePrefix="0" xfId="0">
      <alignment horizontal="left" vertical="top" wrapText="1"/>
    </xf>
    <xf numFmtId="0" fontId="11" fillId="9" borderId="6" applyAlignment="1" pivotButton="0" quotePrefix="0" xfId="0">
      <alignment horizontal="center" vertical="top" wrapText="1"/>
    </xf>
    <xf numFmtId="0" fontId="10" fillId="7" borderId="6" applyAlignment="1" pivotButton="0" quotePrefix="0" xfId="0">
      <alignment horizontal="left" vertical="top" wrapText="1"/>
    </xf>
    <xf numFmtId="0" fontId="11" fillId="7" borderId="6" applyAlignment="1" pivotButton="0" quotePrefix="0" xfId="0">
      <alignment horizontal="left" vertical="top" wrapText="1"/>
    </xf>
    <xf numFmtId="0" fontId="11" fillId="7" borderId="6" applyAlignment="1" pivotButton="0" quotePrefix="0" xfId="0">
      <alignment horizontal="center" vertical="top" wrapText="1"/>
    </xf>
    <xf numFmtId="0" fontId="10" fillId="3" borderId="6" applyAlignment="1" pivotButton="0" quotePrefix="0" xfId="0">
      <alignment horizontal="left" vertical="top" wrapText="1"/>
    </xf>
    <xf numFmtId="0" fontId="11" fillId="3" borderId="6" applyAlignment="1" pivotButton="0" quotePrefix="0" xfId="0">
      <alignment horizontal="left" vertical="top" wrapText="1"/>
    </xf>
    <xf numFmtId="0" fontId="11" fillId="3" borderId="6" applyAlignment="1" pivotButton="0" quotePrefix="0" xfId="0">
      <alignment horizontal="center" vertical="top" wrapText="1"/>
    </xf>
    <xf numFmtId="0" fontId="11" fillId="9" borderId="0" applyAlignment="1" pivotButton="0" quotePrefix="0" xfId="0">
      <alignment vertical="center" wrapText="1"/>
    </xf>
    <xf numFmtId="0" fontId="32" fillId="0" borderId="0" pivotButton="0" quotePrefix="0" xfId="0"/>
    <xf numFmtId="0" fontId="29" fillId="9" borderId="1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center" vertical="center" wrapText="1"/>
    </xf>
    <xf numFmtId="0" fontId="31" fillId="0" borderId="0" pivotButton="0" quotePrefix="0" xfId="0"/>
    <xf numFmtId="0" fontId="33" fillId="7" borderId="0" applyAlignment="1" pivotButton="0" quotePrefix="0" xfId="0">
      <alignment vertical="center" wrapText="1"/>
    </xf>
    <xf numFmtId="0" fontId="34" fillId="7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22" customWidth="1" min="4" max="4"/>
    <col width="46" customWidth="1" min="5" max="5"/>
  </cols>
  <sheetData>
    <row r="1" ht="34" customHeight="1">
      <c r="A1" s="1" t="inlineStr">
        <is>
          <t>bbs-together · 服务器 ⇄ 本地资产同步 带宽优化表</t>
        </is>
      </c>
    </row>
    <row r="2" ht="20" customHeight="1">
      <c r="A2" s="2" t="inlineStr">
        <is>
          <t>代码基线 master @ 0cdfd63（2026-10-13）｜ 分析对象：TogetherServerNetwork / TogetherClientNetwork / PacketCrusher / TogetherSettings / AssetAutoSyncWatcher ｜ 本表只做分析，未改动任何源码</t>
        </is>
      </c>
    </row>
    <row r="4" ht="22" customHeight="1">
      <c r="A4" s="3" t="inlineStr">
        <is>
          <t>一句话结论</t>
        </is>
      </c>
    </row>
    <row r="5" ht="92" customHeight="1">
      <c r="A5" s="4" t="inlineStr">
        <is>
          <t>带宽问题不在于「资产文件太大」，而在于**同一条 Minecraft TCP 连接既没有全局出口预算、也没有接收端背压**，再叠加「每次 diff 都全量上报本地清单」和「服务端把文件整份扇出给所有在线玩家」。按默认规模测算（1500 个资产 / 4 人在线 / 开启自动同步与接收推送），一次会话的可变开销约 329.0 MB，其中 192.0 MB 是可完全消除的扇出、111.0 MB 是可压缩 99% 的全量上报（N 人合计）、16.0 MB 是可归零的重传浪费。先做 P0 的 7 项即可把可变开销压到 1% 以内并止住掉线，做完全部 P2 可把资产字节彻底移出游戏连接。</t>
        </is>
      </c>
    </row>
    <row r="7" ht="22" customHeight="1">
      <c r="A7" s="3" t="inlineStr">
        <is>
          <t>为什么会「一同步就掉线」——四段因果链</t>
        </is>
      </c>
    </row>
    <row r="8" ht="36" customHeight="1">
      <c r="A8" s="5" t="inlineStr">
        <is>
          <t>第 1 环｜① 同一条 TCP，FIFO 无优先级</t>
        </is>
      </c>
      <c r="B8" s="6" t="inlineStr">
        <is>
          <t>资产切片、光标同步、影片数据、keepalive 全部排在一条连接的发送队列里，先入先出（S:889-895 只有按玩家的队列，没有全局预算与优先级）。</t>
        </is>
      </c>
    </row>
    <row r="9" ht="36" customHeight="1">
      <c r="A9" s="7" t="inlineStr">
        <is>
          <t>第 2 环｜② 服务端只看时钟，不看反馈</t>
        </is>
      </c>
      <c r="B9" s="8" t="inlineStr">
        <is>
          <t>每片后固定 sleep(assetSendIntervalMs)，默认 40ms/512KB（S:965）；从不检查客户端是否消化；慢客户端的 netty 出站缓冲会无界堆积，内存上涨且队头阻塞。</t>
        </is>
      </c>
    </row>
    <row r="10" ht="36" customHeight="1">
      <c r="A10" s="5" t="inlineStr">
        <is>
          <t>第 3 环｜③ 扇出是无预算的突发</t>
        </is>
      </c>
      <c r="B10" s="6" t="inlineStr">
        <is>
          <t>一次上传会给所有开启接收推送的玩家整份入队（S:844-887）：50MB × 3 人 = 150MB 在几十秒内涌入上行，家用带宽瞬间打满。</t>
        </is>
      </c>
    </row>
    <row r="11" ht="36" customHeight="1">
      <c r="A11" s="7" t="inlineStr">
        <is>
          <t>第 4 环｜④ 心跳被挤到超时线之外</t>
        </is>
      </c>
      <c r="B11" s="8" t="inlineStr">
        <is>
          <t>带宽饱和后 RTT 飙升、丢包重传，keepalive 与其应答排在巨量资产字节之后 → 读写超时（约 30s 量级）→ 客户端被判超时/连接重置，表现就是「传着传着掉线」。</t>
        </is>
      </c>
    </row>
    <row r="13" ht="22" customHeight="1">
      <c r="A13" s="3" t="inlineStr">
        <is>
          <t>成本对比（按默认规模测算，可改「测算模型」表的参数重算）</t>
        </is>
      </c>
    </row>
    <row r="14" ht="22" customHeight="1">
      <c r="A14" s="9" t="inlineStr">
        <is>
          <t>口径</t>
        </is>
      </c>
      <c r="B14" s="9" t="inlineStr">
        <is>
          <t>现状 / 一次会话</t>
        </is>
      </c>
      <c r="C14" s="9" t="inlineStr">
        <is>
          <t>优化后 / 一次会话</t>
        </is>
      </c>
      <c r="D14" s="9" t="inlineStr">
        <is>
          <t>降幅</t>
        </is>
      </c>
      <c r="E14" s="9" t="inlineStr">
        <is>
          <t>说明</t>
        </is>
      </c>
    </row>
    <row r="15" ht="30" customHeight="1">
      <c r="A15" s="10" t="inlineStr">
        <is>
          <t>每客户端上行 · 控制面</t>
        </is>
      </c>
      <c r="B15" s="11" t="inlineStr">
        <is>
          <t>27.8 MB</t>
        </is>
      </c>
      <c r="C15" s="11" t="inlineStr">
        <is>
          <t>≈0 MB</t>
        </is>
      </c>
      <c r="D15" s="11" t="inlineStr">
        <is>
          <t>-100.0%</t>
        </is>
      </c>
      <c r="E15" s="12" t="inlineStr">
        <is>
          <t>全量 inventory 上报（A1/A2）→ 指纹 + 增量</t>
        </is>
      </c>
    </row>
    <row r="16" ht="30" customHeight="1">
      <c r="A16" s="13" t="inlineStr">
        <is>
          <t>每客户端下行 · 控制面</t>
        </is>
      </c>
      <c r="B16" s="14" t="inlineStr">
        <is>
          <t>2.5 MB</t>
        </is>
      </c>
      <c r="C16" s="14" t="inlineStr">
        <is>
          <t>81 KB</t>
        </is>
      </c>
      <c r="D16" s="14" t="inlineStr">
        <is>
          <t>-96.8%</t>
        </is>
      </c>
      <c r="E16" s="15" t="inlineStr">
        <is>
          <t>全量 manifest（A3/A4）→ 分桶增量 + 二进制编码</t>
        </is>
      </c>
    </row>
    <row r="17" ht="30" customHeight="1">
      <c r="A17" s="10" t="inlineStr">
        <is>
          <t>服务端出口 · 推送扇出</t>
        </is>
      </c>
      <c r="B17" s="11" t="inlineStr">
        <is>
          <t>192.0 MB</t>
        </is>
      </c>
      <c r="C17" s="11" t="inlineStr">
        <is>
          <t>≈0 MB</t>
        </is>
      </c>
      <c r="D17" s="11" t="inlineStr">
        <is>
          <t>-100.0%</t>
        </is>
      </c>
      <c r="E17" s="12" t="inlineStr">
        <is>
          <t>整份扇出（B4）→ 60 字节变更通知 + 按需拉取</t>
        </is>
      </c>
    </row>
    <row r="18" ht="30" customHeight="1">
      <c r="A18" s="13" t="inlineStr">
        <is>
          <t>断线重传浪费</t>
        </is>
      </c>
      <c r="B18" s="14" t="inlineStr">
        <is>
          <t>16.0 MB</t>
        </is>
      </c>
      <c r="C18" s="14" t="inlineStr">
        <is>
          <t>0 MB</t>
        </is>
      </c>
      <c r="D18" s="14" t="inlineStr">
        <is>
          <t>-100%</t>
        </is>
      </c>
      <c r="E18" s="15" t="inlineStr">
        <is>
          <t>从头重传（C1）→ offset 续传</t>
        </is>
      </c>
    </row>
    <row r="19" ht="30" customHeight="1">
      <c r="A19" s="10" t="inlineStr">
        <is>
          <t>首次全量下载（一次性）</t>
        </is>
      </c>
      <c r="B19" s="11" t="inlineStr">
        <is>
          <t>4,800 MB</t>
        </is>
      </c>
      <c r="C19" s="11" t="inlineStr">
        <is>
          <t>4,800 MB</t>
        </is>
      </c>
      <c r="D19" s="11" t="inlineStr">
        <is>
          <t>0（必需）</t>
        </is>
      </c>
      <c r="E19" s="12" t="inlineStr">
        <is>
          <t>X1：这部分字节不该被「优化」掉，只需可续传/可限速</t>
        </is>
      </c>
    </row>
    <row r="20" ht="30" customHeight="1">
      <c r="A20" s="16" t="inlineStr">
        <is>
          <t>可变开销合计（不含首次）</t>
        </is>
      </c>
      <c r="B20" s="17" t="inlineStr">
        <is>
          <t>329.0 MB</t>
        </is>
      </c>
      <c r="C20" s="17" t="inlineStr">
        <is>
          <t>356 KB</t>
        </is>
      </c>
      <c r="D20" s="17" t="inlineStr">
        <is>
          <t>-99.9%</t>
        </is>
      </c>
      <c r="E20" s="16" t="inlineStr">
        <is>
          <t>这是「同步把带宽吃满」的全部来源</t>
        </is>
      </c>
    </row>
    <row r="22" ht="22" customHeight="1">
      <c r="A22" s="3" t="inlineStr">
        <is>
          <t>优化思路三分法（每一项都属于且只属于其中一类）</t>
        </is>
      </c>
    </row>
    <row r="23" ht="26" customHeight="1">
      <c r="A23" s="18" t="inlineStr">
        <is>
          <t>少传</t>
        </is>
      </c>
      <c r="B23" s="19" t="inlineStr">
        <is>
          <t>不传 —— 缓存与指纹、按需拉取、去重、续传</t>
        </is>
      </c>
      <c r="C23" s="64" t="n"/>
      <c r="D23" s="20" t="inlineStr">
        <is>
          <t>A1 A2 A3 B4 B5 C1 D1 D2</t>
        </is>
      </c>
      <c r="E23" s="64" t="n"/>
    </row>
    <row r="24" ht="26" customHeight="1">
      <c r="A24" s="21" t="inlineStr">
        <is>
          <t>紧传</t>
        </is>
      </c>
      <c r="B24" s="19" t="inlineStr">
        <is>
          <t>编码与打包 —— 二进制清单、前缀池、分桶增量、打包压缩</t>
        </is>
      </c>
      <c r="C24" s="64" t="n"/>
      <c r="D24" s="20" t="inlineStr">
        <is>
          <t>A4 C3 C4 C5</t>
        </is>
      </c>
      <c r="E24" s="64" t="n"/>
    </row>
    <row r="25" ht="26" customHeight="1">
      <c r="A25" s="18" t="inlineStr">
        <is>
          <t>稳传</t>
        </is>
      </c>
      <c r="B25" s="19" t="inlineStr">
        <is>
          <t>预算与流控 —— 令牌桶、ACK 窗口、tick 预算、降包大小</t>
        </is>
      </c>
      <c r="C25" s="64" t="n"/>
      <c r="D25" s="20" t="inlineStr">
        <is>
          <t>B1 B2 B3 B6 D3 D4 A5</t>
        </is>
      </c>
      <c r="E25" s="64" t="n"/>
    </row>
    <row r="26" ht="26" customHeight="1">
      <c r="A26" s="21" t="inlineStr">
        <is>
          <t>看得见</t>
        </is>
      </c>
      <c r="B26" s="19" t="inlineStr">
        <is>
          <t>度量与归因 —— 吞吐指标、自适应、断连归因</t>
        </is>
      </c>
      <c r="C26" s="64" t="n"/>
      <c r="D26" s="20" t="inlineStr">
        <is>
          <t>E1 E2 E3</t>
        </is>
      </c>
      <c r="E26" s="64" t="n"/>
    </row>
    <row r="27" ht="26" customHeight="1">
      <c r="A27" s="18" t="inlineStr">
        <is>
          <t>换车道</t>
        </is>
      </c>
      <c r="B27" s="19" t="inlineStr">
        <is>
          <t>脱离游戏连接 —— HTTP/CDN 或独立通道</t>
        </is>
      </c>
      <c r="C27" s="64" t="n"/>
      <c r="D27" s="20" t="inlineStr">
        <is>
          <t>F1 F2</t>
        </is>
      </c>
      <c r="E27" s="64" t="n"/>
    </row>
    <row r="29" ht="22" customHeight="1">
      <c r="A29" s="3" t="inlineStr">
        <is>
          <t>优先级分布与取舍</t>
        </is>
      </c>
    </row>
    <row r="30" ht="30" customHeight="1">
      <c r="A30" s="22" t="inlineStr">
        <is>
          <t>P0 · 止血（7 项，16 人日）</t>
        </is>
      </c>
      <c r="B30" s="23" t="inlineStr">
        <is>
          <t>A1 A2 B1 B2 C1 D1 E1</t>
        </is>
      </c>
      <c r="C30" s="24" t="inlineStr">
        <is>
          <t>做完即：控制面上行 -99%、出口有预算、传输有背压、断线可续传。如果只做一批，就做这批。</t>
        </is>
      </c>
    </row>
    <row r="31" ht="30" customHeight="1">
      <c r="A31" s="25" t="inlineStr">
        <is>
          <t>P1 · 控速（7 项，13 人日）</t>
        </is>
      </c>
      <c r="B31" s="23" t="inlineStr">
        <is>
          <t>A3 A4 B3 B4 C2 C5 D2</t>
        </is>
      </c>
      <c r="C31" s="24" t="inlineStr">
        <is>
          <t>把「突发 + 全量清单」压到可忽略；下载期不再卡顿；推送不再扇出。</t>
        </is>
      </c>
    </row>
    <row r="32" ht="30" customHeight="1">
      <c r="A32" s="26" t="inlineStr">
        <is>
          <t>P2 · 精简与换道（11 项，40 人日）</t>
        </is>
      </c>
      <c r="B32" s="23" t="inlineStr">
        <is>
          <t>A5 B5 B6 C3 C4 D3 D4 E2 E3 F1 F2</t>
        </is>
      </c>
      <c r="C32" s="24" t="inlineStr">
        <is>
          <t>二进制编码、打包压缩、多播、自适应；F1/F2 才是彻底的架构解，但工作量大且需要运维配合。</t>
        </is>
      </c>
    </row>
    <row r="33" ht="34" customHeight="1">
      <c r="A33" s="91" t="inlineStr">
        <is>
          <t>设置层现状：项目里已有 12 个真正生效的同步设置键（6 个开关 + 6 个数值）+ 2 个死配置（cdn.url / cdn.token），只覆盖本页 25 项中的 4 项；不改代码能做的调参（服务端 40/512 → 200/128 等）、覆盖度逐项对照与建议新增的键，见「设置审查」页。</t>
        </is>
      </c>
    </row>
    <row r="34">
      <c r="A34" s="92" t="inlineStr">
        <is>
          <t>落地进度：25 项中已有 6 项（A1/A2/B1/B4/D1/E1，均为 P0 或与 P0 同源）在本次改动中实现并通过编译（remapJar 成功），见「优化表」状态列。</t>
        </is>
      </c>
    </row>
    <row r="35" ht="40" customHeight="1">
      <c r="A35" s="27" t="inlineStr">
        <is>
          <t>位置缩写：S = src/main/java/mchorse/bbs_together/network/TogetherServerNetwork.java；C = src/client/java/mchorse/bbs_together/network/TogetherClientNetwork.java；T = src/main/java/mchorse/bbs_together/TogetherSettings.java；P = lib/bbs-fs-2.6-1.20.1/src/main/java/mchorse/bbs_mod/network/PacketCrusher.java；W = src/client/java/mchorse/bbs_together/sync/AssetAutoSyncWatcher.java；Q = src/client/java/mchorse/bbs_together/network/TogetherEditSyncQueue.java</t>
        </is>
      </c>
    </row>
    <row r="36" ht="48" customHeight="1">
      <c r="A36" s="27" t="inlineStr">
        <is>
          <t>测算口径：F=1500 个资产文件、平均路径 45 字符、4 人在线、平均文件 0.8MB、一次会话 120 次 resync、80 个文件被修改、服务端变更 15 次、开启接收推送、首次全量 1200MB×4 人、20 次传输中断。inventory 单条按 路径+40B sha1+12B JSON 开销，manifest 单条再 +19B 时间戳。这些假设都可「测算模型」表中修改，结论随参数自动变化。</t>
        </is>
      </c>
    </row>
  </sheetData>
  <mergeCells count="31">
    <mergeCell ref="B9:E9"/>
    <mergeCell ref="B25:C25"/>
    <mergeCell ref="B30"/>
    <mergeCell ref="C31:E31"/>
    <mergeCell ref="A1:E1"/>
    <mergeCell ref="A36:E36"/>
    <mergeCell ref="B27:C27"/>
    <mergeCell ref="B32"/>
    <mergeCell ref="A7:E7"/>
    <mergeCell ref="D27:E27"/>
    <mergeCell ref="B23:C23"/>
    <mergeCell ref="B31"/>
    <mergeCell ref="C32:E32"/>
    <mergeCell ref="A2:E2"/>
    <mergeCell ref="A33:E33"/>
    <mergeCell ref="A5:E5"/>
    <mergeCell ref="B11:E11"/>
    <mergeCell ref="C30:E30"/>
    <mergeCell ref="A22:E22"/>
    <mergeCell ref="D25:E25"/>
    <mergeCell ref="B24:C24"/>
    <mergeCell ref="A4:E4"/>
    <mergeCell ref="B8:E8"/>
    <mergeCell ref="D24:E24"/>
    <mergeCell ref="A29:E29"/>
    <mergeCell ref="A35:E35"/>
    <mergeCell ref="D23:E23"/>
    <mergeCell ref="A13:E13"/>
    <mergeCell ref="B26:C26"/>
    <mergeCell ref="B10:E10"/>
    <mergeCell ref="D26:E26"/>
  </mergeCells>
  <printOptions horizontalCentered="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22" customWidth="1" min="3" max="3"/>
    <col width="44" customWidth="1" min="4" max="4"/>
    <col width="38" customWidth="1" min="5" max="5"/>
    <col width="44" customWidth="1" min="6" max="6"/>
    <col width="30" customWidth="1" min="7" max="7"/>
    <col width="26" customWidth="1" min="8" max="8"/>
    <col width="8" customWidth="1" min="9" max="9"/>
    <col width="8" customWidth="1" min="10" max="10"/>
    <col width="24" customWidth="1" min="11" max="11"/>
    <col width="9" customWidth="1" min="12" max="12"/>
  </cols>
  <sheetData>
    <row r="1" ht="28" customHeight="1">
      <c r="A1" s="28" t="inlineStr">
        <is>
          <t>资产同步带宽优化表（25 项 + 1 条边界说明）　·　按优先级排序，同优先级按类别归拢</t>
        </is>
      </c>
    </row>
    <row r="2" ht="26" customHeight="1">
      <c r="A2" s="29" t="inlineStr">
        <is>
          <t>位置缩写：S = src/main/java/mchorse/bbs_together/network/TogetherServerNetwork.java；C = src/client/java/mchorse/bbs_together/network/TogetherClientNetwork.java；T = src/main/java/mchorse/bbs_together/TogetherSettings.java；P = lib/bbs-fs-2.6-1.20.1/src/main/java/mchorse/bbs_mod/network/PacketCrusher.java；W = src/client/java/mchorse/bbs_together/sync/AssetAutoSyncWatcher.java；Q = src/client/java/mchorse/bbs_together/network/TogetherEditSyncQueue.java</t>
        </is>
      </c>
    </row>
    <row r="4" ht="34" customHeight="1">
      <c r="A4" s="30" t="inlineStr">
        <is>
          <t>编号</t>
        </is>
      </c>
      <c r="B4" s="30" t="inlineStr">
        <is>
          <t>类别</t>
        </is>
      </c>
      <c r="C4" s="30" t="inlineStr">
        <is>
          <t>优化项</t>
        </is>
      </c>
      <c r="D4" s="30" t="inlineStr">
        <is>
          <t>现状机制与位置</t>
        </is>
      </c>
      <c r="E4" s="30" t="inlineStr">
        <is>
          <t>问题与后果</t>
        </is>
      </c>
      <c r="F4" s="30" t="inlineStr">
        <is>
          <t>优化方案</t>
        </is>
      </c>
      <c r="G4" s="30" t="inlineStr">
        <is>
          <t>预期收益</t>
        </is>
      </c>
      <c r="H4" s="30" t="inlineStr">
        <is>
          <t>代价 / 风险</t>
        </is>
      </c>
      <c r="I4" s="30" t="inlineStr">
        <is>
          <t>工作量
(人日)</t>
        </is>
      </c>
      <c r="J4" s="30" t="inlineStr">
        <is>
          <t>优先级</t>
        </is>
      </c>
      <c r="K4" s="30" t="inlineStr">
        <is>
          <t>验证方式</t>
        </is>
      </c>
      <c r="L4" s="30" t="inlineStr">
        <is>
          <t>状态</t>
        </is>
      </c>
    </row>
    <row r="5" ht="96.2" customHeight="1">
      <c r="A5" s="31" t="inlineStr">
        <is>
          <t>A1</t>
        </is>
      </c>
      <c r="B5" s="32" t="inlineStr">
        <is>
          <t>控制面</t>
        </is>
      </c>
      <c r="C5" s="33" t="inlineStr">
        <is>
          <t>全量 inventory 上报改为增量上报</t>
        </is>
      </c>
      <c r="D5" s="34" t="inlineStr">
        <is>
          <t>C:1373-1405 每次上报都新起线程、遍历整个 assets 目录、发「全部 path→sha1」。触发点共 4 处：C:874（上传批次结束）、C:883（每次 diff 结束，含 unchanged 快路径）、C:1054（每个 push 文件落盘）、C:1088（下载全部完成）。服务端 S:1054-1110 整表覆盖 playerOwnedAssets。</t>
        </is>
      </c>
      <c r="E5" s="34" t="inlineStr">
        <is>
          <t>单次上报 ≈ F×(路径+40B)，1500 文件约 142KB。开推送时一次 50 文件的回推 = 50×142KB ≈ 7MB 上行，全部压在客户端上行带宽上；上行被占满后客户端对 keepalive 的应答也排队 → 被判超时踢出。</t>
        </is>
      </c>
      <c r="F5" s="34" t="inlineStr">
        <is>
          <t>改为「本地持有指纹 + 差集」：先发 8 字节指纹，服务端不同再用 {added, removed, changed} 增量；或彻底取消上报，改为 resync 时携带 lastManifestVersion + 本地持有集合指纹，由服务端自己算差。</t>
        </is>
      </c>
      <c r="G5" s="34" t="inlineStr">
        <is>
          <t>控制面上行 -95%~-99%（142KB → &lt;2KB）；push 风暴下的上行 -100%。</t>
        </is>
      </c>
      <c r="H5" s="34" t="inlineStr">
        <is>
          <t>服务端 playerOwnedAssets 语义要版本化；需兼容未升级客户端（保留全量上报分支）。</t>
        </is>
      </c>
      <c r="I5" s="35" t="n">
        <v>2</v>
      </c>
      <c r="J5" s="36" t="inlineStr">
        <is>
          <t>P0</t>
        </is>
      </c>
      <c r="K5" s="37" t="inlineStr">
        <is>
          <t>抓包统计 SERVER_ASSET_REPORT 的包数与总字节</t>
        </is>
      </c>
      <c r="L5" s="93" t="inlineStr">
        <is>
          <t>已实现</t>
        </is>
      </c>
    </row>
    <row r="6" ht="58.4" customHeight="1">
      <c r="A6" s="31" t="inlineStr">
        <is>
          <t>A2</t>
        </is>
      </c>
      <c r="B6" s="32" t="inlineStr">
        <is>
          <t>控制面</t>
        </is>
      </c>
      <c r="C6" s="33" t="inlineStr">
        <is>
          <t>unchanged 快路径收到后不应再回全量上报</t>
        </is>
      </c>
      <c r="D6" s="34" t="inlineStr">
        <is>
          <t>S:681-687 命中指纹时只回 9 字节（boolean+long）；但客户端 C:666-681 复用缓存后仍一路走到 C:883 无条件 sendAssetInventory()。</t>
        </is>
      </c>
      <c r="E6" s="34" t="inlineStr">
        <is>
          <t>一次「什么都没变」的 resync：下行 9B、上行 142KB，比例 1:16000。自动同步开启时每 20s 一轮，等于持续小额上行 + 每次一次全树 walk。</t>
        </is>
      </c>
      <c r="F6" s="34" t="inlineStr">
        <is>
          <t>在 reuseCache 分支直接 return；确需上报时只发本地新增/删除的差集。</t>
        </is>
      </c>
      <c r="G6" s="34" t="inlineStr">
        <is>
          <t>稳态每次 resync 省 142KB/客户端，且省掉一次本地全树遍历。</t>
        </is>
      </c>
      <c r="H6" s="34" t="inlineStr">
        <is>
          <t>需确认 push 去重依赖的 ownedAssets 仍能通过增量补齐。</t>
        </is>
      </c>
      <c r="I6" s="35" t="n">
        <v>0.5</v>
      </c>
      <c r="J6" s="36" t="inlineStr">
        <is>
          <t>P0</t>
        </is>
      </c>
      <c r="K6" s="37" t="inlineStr">
        <is>
          <t>对比优化前后一次 unchanged resync 的双向字节</t>
        </is>
      </c>
      <c r="L6" s="93" t="inlineStr">
        <is>
          <t>已实现</t>
        </is>
      </c>
    </row>
    <row r="7" ht="58.4" customHeight="1">
      <c r="A7" s="31" t="inlineStr">
        <is>
          <t>A3</t>
        </is>
      </c>
      <c r="B7" s="32" t="inlineStr">
        <is>
          <t>控制面</t>
        </is>
      </c>
      <c r="C7" s="33" t="inlineStr">
        <is>
          <t>变更时全量清单 → 分桶增量清单</t>
        </is>
      </c>
      <c r="D7" s="34" t="inlineStr">
        <is>
          <t>S:645-696 只要整树指纹（S:680 fingerprintVersion）不匹配，就给该玩家发完整 manifest（每条 "sha1:size:mtime"），多客户端各发一份。</t>
        </is>
      </c>
      <c r="E7" s="34" t="inlineStr">
        <is>
          <t>改 1 个文件 → 所有在线客户端各收 170KB；4 人 = 680KB。路径重复前缀、19 位十进制 mtime 全量重发。</t>
        </is>
      </c>
      <c r="F7" s="34" t="inlineStr">
        <is>
          <t>引入按一级目录/模型 ID 的 N 个桶，携带 {version, bucketVersions[N]}；客户端只请求变化桶的条目；整树未变仍走现有 9B stub。</t>
        </is>
      </c>
      <c r="G7" s="34" t="inlineStr">
        <is>
          <t>单文件变更：170KB → 2~6KB（-97%）；N 个客户端可共享同一份序列化字节。</t>
        </is>
      </c>
      <c r="H7" s="34" t="inlineStr">
        <is>
          <t>协议改动需版本门控；桶数需可配（16/32/64）。</t>
        </is>
      </c>
      <c r="I7" s="35" t="n">
        <v>3</v>
      </c>
      <c r="J7" s="38" t="inlineStr">
        <is>
          <t>P1</t>
        </is>
      </c>
      <c r="K7" s="37" t="inlineStr">
        <is>
          <t>改 1 个文件后统计 manifest 包字节</t>
        </is>
      </c>
      <c r="L7" s="94" t="inlineStr">
        <is>
          <t>待实施</t>
        </is>
      </c>
    </row>
    <row r="8" ht="58.4" customHeight="1">
      <c r="A8" s="31" t="inlineStr">
        <is>
          <t>A4</t>
        </is>
      </c>
      <c r="B8" s="32" t="inlineStr">
        <is>
          <t>控制面</t>
        </is>
      </c>
      <c r="C8" s="33" t="inlineStr">
        <is>
          <t>清单改用二进制编码（路径池 + 原始 sha1 + varint）</t>
        </is>
      </c>
      <c r="D8" s="34" t="inlineStr">
        <is>
          <t>S:653-675 用 MapType + putString 写 "&lt;40位hex&gt;:&lt;19位mtime&gt;:&lt;size&gt;"；C:683-698 再 split 解析。</t>
        </is>
      </c>
      <c r="E8" s="34" t="inlineStr">
        <is>
          <t>每条含 JSON 引号/冒号、40 字符十六进制 sha1、19 位十进制时间戳；netty 只在 30KB 包内各自 deflate，跨包无字典，压不动。</t>
        </is>
      </c>
      <c r="F8" s="34" t="inlineStr">
        <is>
          <t>二进制条目：路径前缀池（或字典 id）+ varint 长度 + sha1 原始 20 字节 + varint size；mtime 改为按需单独查询。</t>
        </is>
      </c>
      <c r="G8" s="34" t="inlineStr">
        <is>
          <t>清单体积 -55%~-75%（170KB → 45~70KB），解析 CPU 同时下降。</t>
        </is>
      </c>
      <c r="H8" s="34" t="inlineStr">
        <is>
          <t>需自写编解码与回归测试；新旧版本共存期双向可读。</t>
        </is>
      </c>
      <c r="I8" s="35" t="n">
        <v>2</v>
      </c>
      <c r="J8" s="38" t="inlineStr">
        <is>
          <t>P1</t>
        </is>
      </c>
      <c r="K8" s="37" t="inlineStr">
        <is>
          <t>同目录树前后序列化字节数对比</t>
        </is>
      </c>
      <c r="L8" s="94" t="inlineStr">
        <is>
          <t>待实施</t>
        </is>
      </c>
    </row>
    <row r="9" ht="58.4" customHeight="1">
      <c r="A9" s="31" t="inlineStr">
        <is>
          <t>A5</t>
        </is>
      </c>
      <c r="B9" s="32" t="inlineStr">
        <is>
          <t>控制面</t>
        </is>
      </c>
      <c r="C9" s="33" t="inlineStr">
        <is>
          <t>清单「一请求一线程 + 每客户端重复构建」改单例构建器</t>
        </is>
      </c>
      <c r="D9" s="34" t="inlineStr">
        <is>
          <t>S:651-695 每次请求 new Thread 全树 walk；S:673 每文件 sha1OfPathCached；S:192 assetHashCache 只增不删。</t>
        </is>
      </c>
      <c r="E9" s="34" t="inlineStr">
        <is>
          <t>4 人同时 resync = 4 次全树 walk + 4 次序列化，主线程还要处理 4 次发送；hash 缓存无上限，长跑后堆内存持续上涨。</t>
        </is>
      </c>
      <c r="F9" s="34" t="inlineStr">
        <is>
          <t>单例 AssetManifestBuilder：一次 walk 产出 (version, MapType, 序列化字节)，按版本缓存；所有玩家共享同一 byte[]；hash 缓存加 LRU 上限。</t>
        </is>
      </c>
      <c r="G9" s="34" t="inlineStr">
        <is>
          <t>CPU/IO -75%，tick 抖动下降；为 A3 分桶与 B6 多播铺路。</t>
        </is>
      </c>
      <c r="H9" s="34" t="inlineStr">
        <is>
          <t>需要并发保护与失效通知（上传/删除/本地改都要 bump 版本）。</t>
        </is>
      </c>
      <c r="I9" s="35" t="n">
        <v>2.5</v>
      </c>
      <c r="J9" s="39" t="inlineStr">
        <is>
          <t>P2</t>
        </is>
      </c>
      <c r="K9" s="37" t="inlineStr">
        <is>
          <t>多人同时 resync 时服务端 CPU 与 tick 耗时</t>
        </is>
      </c>
      <c r="L9" s="94" t="inlineStr">
        <is>
          <t>待实施</t>
        </is>
      </c>
    </row>
    <row r="10" ht="58.4" customHeight="1">
      <c r="A10" s="31" t="inlineStr">
        <is>
          <t>B1</t>
        </is>
      </c>
      <c r="B10" s="32" t="inlineStr">
        <is>
          <t>调度流控</t>
        </is>
      </c>
      <c r="C10" s="33" t="inlineStr">
        <is>
          <t>全局出口带宽预算（令牌桶）+ 每玩家公平分配</t>
        </is>
      </c>
      <c r="D10" s="34" t="inlineStr">
        <is>
          <t>S:889-895 每玩家一个 LinkedBlockingQueue + 独立 drain 线程；S:965 每片后固定 sleep(assetSendIntervalMs)，默认 40ms/512KB ≈ 12.8MB/s/人，无全局上限。</t>
        </is>
      </c>
      <c r="E10" s="34" t="inlineStr">
        <is>
          <t>4 人同时下载 = 51MB/s 需求，家用上行必然饱和 → RTT 飙升、丢包重传，keepalive 与心跳全部排队。这是「一同步就掉线」的结构性根因。</t>
        </is>
      </c>
      <c r="F10" s="34" t="inlineStr">
        <is>
          <t>全局 AssetEgressLimiter（新增 asset_egress_kbps，默认 512KB/s ≈ 4Mbps）；活跃下载者之间按权重均分；突发桶 ≤ 1 个 slice；上传统计进同一预算。</t>
        </is>
      </c>
      <c r="G10" s="34" t="inlineStr">
        <is>
          <t>出口从「无上限突发」变成稳定可预测；饱和概率→0，是防断连的根本措施。</t>
        </is>
      </c>
      <c r="H10" s="34" t="inlineStr">
        <is>
          <t>下载变慢（可由用户调大）；需保留旧配置键作为覆盖值。</t>
        </is>
      </c>
      <c r="I10" s="35" t="n">
        <v>3</v>
      </c>
      <c r="J10" s="36" t="inlineStr">
        <is>
          <t>P0</t>
        </is>
      </c>
      <c r="K10" s="37" t="inlineStr">
        <is>
          <t>传输期间 netstat/任务管理器观测出口速率是否稳定在预算内</t>
        </is>
      </c>
      <c r="L10" s="93" t="inlineStr">
        <is>
          <t>已实现</t>
        </is>
      </c>
    </row>
    <row r="11" ht="71" customHeight="1">
      <c r="A11" s="31" t="inlineStr">
        <is>
          <t>B2</t>
        </is>
      </c>
      <c r="B11" s="32" t="inlineStr">
        <is>
          <t>调度流控</t>
        </is>
      </c>
      <c r="C11" s="33" t="inlineStr">
        <is>
          <t>固定 sleep → ACK 窗口流控 + 自适应速率</t>
        </is>
      </c>
      <c r="D11" s="34" t="inlineStr">
        <is>
          <t>客户端只在整文件收完时回哨兵（P:64-81）；服务端无在途字节记录，只按 S:965 的固定节奏推进，不问客户端能否消化。</t>
        </is>
      </c>
      <c r="E11" s="34" t="inlineStr">
        <is>
          <t>慢客户端会让服务端 netty 出站缓冲无界堆积（写缓冲无上限）：内存上涨、队头阻塞，后续 keepalive 被压在巨量资产字节之后 → 读超时断连；一个慢客户端还会拖慢主线程任务队列。</t>
        </is>
      </c>
      <c r="F11" s="34" t="inlineStr">
        <is>
          <t>客户端每收到 k 片回 ACK{path, receivedBytes}（约 20B/4MB，可忽略）；服务端维护每文件在途窗口（建议 8 片 ≈ 4MB）与 RTT/cwnd 估算，窗口满即暂停；丢包则减半。</t>
        </is>
      </c>
      <c r="G11" s="34" t="inlineStr">
        <is>
          <t>消除出站缓冲膨胀与队头阻塞；慢客户端不再拖累他人；断连率显著下降。</t>
        </is>
      </c>
      <c r="H11" s="34" t="inlineStr">
        <is>
          <t>协议改动，必须版本门控；窗口参数需可配。</t>
        </is>
      </c>
      <c r="I11" s="35" t="n">
        <v>4</v>
      </c>
      <c r="J11" s="36" t="inlineStr">
        <is>
          <t>P0</t>
        </is>
      </c>
      <c r="K11" s="37" t="inlineStr">
        <is>
          <t>模拟 200ms RTT/2% 丢包，观察内存与断连次数</t>
        </is>
      </c>
      <c r="L11" s="94" t="inlineStr">
        <is>
          <t>待实施</t>
        </is>
      </c>
    </row>
    <row r="12" ht="58.4" customHeight="1">
      <c r="A12" s="31" t="inlineStr">
        <is>
          <t>B3</t>
        </is>
      </c>
      <c r="B12" s="32" t="inlineStr">
        <is>
          <t>调度流控</t>
        </is>
      </c>
      <c r="C12" s="33" t="inlineStr">
        <is>
          <t>切片粒度与主线程任务投递方式</t>
        </is>
      </c>
      <c r="D12" s="34" t="inlineStr">
        <is>
          <t>P:17 BUFFER_SIZE = 30_000 固定 30KB/包；每 512KB 片 = 18 个包，每片一次 server.execute（S:682-688 同构）；客户端 C:1022 收到分片后 client.execute 在主线程落盘。</t>
        </is>
      </c>
      <c r="E12" s="34" t="inlineStr">
        <is>
          <t>4 人并发时主线程每秒要处理约 1800 个发送任务；客户端下载期间在主线程做磁盘写与后续哈希 → 帧时间抖动、疑似「同步时卡服」。</t>
        </is>
      </c>
      <c r="F12" s="34" t="inlineStr">
        <is>
          <t>每 tick 批量投递（1 个任务发多片）；包大小降到 8~16KB 以贴合 MTU、减少单包写入抖动；客户端落盘移到 IO 线程，主线程只做最终校验与 move。</t>
        </is>
      </c>
      <c r="G12" s="34" t="inlineStr">
        <is>
          <t>主线程任务数 -90%；下载期帧时间抖动明显改善（吞吐不变但更顺滑）。</t>
        </is>
      </c>
      <c r="H12" s="34" t="inlineStr">
        <is>
          <t>PacketCrusher 被所有大数据包共用，改分片要全量回归。</t>
        </is>
      </c>
      <c r="I12" s="35" t="n">
        <v>2</v>
      </c>
      <c r="J12" s="38" t="inlineStr">
        <is>
          <t>P1</t>
        </is>
      </c>
      <c r="K12" s="37" t="inlineStr">
        <is>
          <t>下载 1GB 模型时的 MSPT 与客户端帧时间</t>
        </is>
      </c>
      <c r="L12" s="94" t="inlineStr">
        <is>
          <t>待实施</t>
        </is>
      </c>
    </row>
    <row r="13" ht="58.4" customHeight="1">
      <c r="A13" s="31" t="inlineStr">
        <is>
          <t>B4</t>
        </is>
      </c>
      <c r="B13" s="32" t="inlineStr">
        <is>
          <t>调度流控</t>
        </is>
      </c>
      <c r="C13" s="33" t="inlineStr">
        <is>
          <t>服务端 push 扇出 → 变更通知 + 客户端拉取</t>
        </is>
      </c>
      <c r="D13" s="34" t="inlineStr">
        <is>
          <t>S:844-887 finalizeUpload 对每个其他玩家整份入队（受 T:45 assetSyncReceive 门控，默认 false）；S:870-887 另有 AssetChanged ping（2s 合并）。</t>
        </is>
      </c>
      <c r="E13" s="34" t="inlineStr">
        <is>
          <t>开启「接收推送」后，1 个 50MB 模型 × 3 个玩家 = 150MB 无预算突发 → 上行瞬间打满 → 全体断连。这是最典型的「带宽占用过大导致掉线」场景。</t>
        </is>
      </c>
      <c r="F13" s="34" t="inlineStr">
        <is>
          <t>上传完成只广播 AssetChanged{path, sha1, size, revision}（约 60B）；客户端按需/自动拉取，且必须走 B1 预算与 B2 窗口；assetSyncReceive 语义改为「自动拉取新资产」。</t>
        </is>
      </c>
      <c r="G13" s="34" t="inlineStr">
        <is>
          <t>服务端出口 150MB → 180B；突发彻底消失。</t>
        </is>
      </c>
      <c r="H13" s="34" t="inlineStr">
        <is>
          <t>交互变化：需要 UI 提示「服务器有新资产可下载」；依赖 revision 机制（与 A3 共用）。</t>
        </is>
      </c>
      <c r="I13" s="35" t="n">
        <v>2</v>
      </c>
      <c r="J13" s="38" t="inlineStr">
        <is>
          <t>P1</t>
        </is>
      </c>
      <c r="K13" s="37" t="inlineStr">
        <is>
          <t>开推送时上传 50MB 模型，统计出口字节与是否掉线</t>
        </is>
      </c>
      <c r="L13" s="93" t="inlineStr">
        <is>
          <t>已实现</t>
        </is>
      </c>
    </row>
    <row r="14" ht="58.4" customHeight="1">
      <c r="A14" s="31" t="inlineStr">
        <is>
          <t>B5</t>
        </is>
      </c>
      <c r="B14" s="32" t="inlineStr">
        <is>
          <t>调度流控</t>
        </is>
      </c>
      <c r="C14" s="33" t="inlineStr">
        <is>
          <t>重复请求去重 + 跨客户端共享读取</t>
        </is>
      </c>
      <c r="D14" s="34" t="inlineStr">
        <is>
          <t>S:726-745 handleAssetRequest 逐路径直接入队，无 in-flight 去重；S:1028 失败按 100ms×(n+1) 退避重试整份重发；C:2562 一次可请求数百路径。</t>
        </is>
      </c>
      <c r="E14" s="34" t="inlineStr">
        <is>
          <t>重连重试会整份重发；同一文件被多人同时请求时各自读盘、各自构造 30KB 包。</t>
        </is>
      </c>
      <c r="F14" s="34" t="inlineStr">
        <is>
          <t>per-player inFlight 集合去重（同一 sha1 已排队则忽略）；跨客户端用 (sha1,size) 作 key 的 LRU 读缓存共享 byte[]。</t>
        </is>
      </c>
      <c r="G14" s="34" t="inlineStr">
        <is>
          <t>重复传输 -100%；磁盘读与内存复制下降。</t>
        </is>
      </c>
      <c r="H14" s="34" t="inlineStr">
        <is>
          <t>需处理「传输中文件被替换」：以 sha1 校验为准，不匹配重来。</t>
        </is>
      </c>
      <c r="I14" s="35" t="n">
        <v>2</v>
      </c>
      <c r="J14" s="39" t="inlineStr">
        <is>
          <t>P2</t>
        </is>
      </c>
      <c r="K14" s="37" t="inlineStr">
        <is>
          <t>多人同时请求同一模型时的服务端读盘次数</t>
        </is>
      </c>
      <c r="L14" s="94" t="inlineStr">
        <is>
          <t>待实施</t>
        </is>
      </c>
    </row>
    <row r="15" ht="33.2" customHeight="1">
      <c r="A15" s="31" t="inlineStr">
        <is>
          <t>B6</t>
        </is>
      </c>
      <c r="B15" s="32" t="inlineStr">
        <is>
          <t>调度流控</t>
        </is>
      </c>
      <c r="C15" s="33" t="inlineStr">
        <is>
          <t>一对多同发（多播编码）</t>
        </is>
      </c>
      <c r="D15" s="34" t="inlineStr">
        <is>
          <t>S:889-895 每个玩家独立队列、独立 drain，同一文件的 30KB 包为每人各构造一次。</t>
        </is>
      </c>
      <c r="E15" s="34" t="inlineStr">
        <is>
          <t>同一份字节被序列化 N 次；CPU 与 GC 压力随人数线性上升。</t>
        </is>
      </c>
      <c r="F15" s="34" t="inlineStr">
        <is>
          <t>每文件一个读协程产出 slice → 按各玩家窗口分别投递（各自独立背压），共享同一 byte[]。</t>
        </is>
      </c>
      <c r="G15" s="34" t="inlineStr">
        <is>
          <t>CPU/内存分配 -N 倍；配合 B1 后出口依旧稳定。</t>
        </is>
      </c>
      <c r="H15" s="34" t="inlineStr">
        <is>
          <t>复杂度高，建议在 B1/B2 落地后再做。</t>
        </is>
      </c>
      <c r="I15" s="35" t="n">
        <v>3</v>
      </c>
      <c r="J15" s="39" t="inlineStr">
        <is>
          <t>P2</t>
        </is>
      </c>
      <c r="K15" s="37" t="inlineStr">
        <is>
          <t>4 人同下载同一文件时的 CPU 占用</t>
        </is>
      </c>
      <c r="L15" s="94" t="inlineStr">
        <is>
          <t>待实施</t>
        </is>
      </c>
    </row>
    <row r="16" ht="58.4" customHeight="1">
      <c r="A16" s="31" t="inlineStr">
        <is>
          <t>C1</t>
        </is>
      </c>
      <c r="B16" s="32" t="inlineStr">
        <is>
          <t>数据规模</t>
        </is>
      </c>
      <c r="C16" s="33" t="inlineStr">
        <is>
          <t>断点续传（offset / Range）</t>
        </is>
      </c>
      <c r="D16" s="34" t="inlineStr">
        <is>
          <t>失败重试从 0 开始（C:667 downloadRetries）；本地 .bbspart 只做 append（C:1030/1032）；服务端 S:799/801 靠 offset 决定 TRUNCATE 还是 APPEND，但客户端从不续传。</t>
        </is>
      </c>
      <c r="E16" s="34" t="inlineStr">
        <is>
          <t>任何一次超时/重连 → 整文件从头再传。T:49 默认允许 1GB 单文件，弱网上几乎必然中途失败，形成「传不完→重传→再占带宽」的恶性循环。</t>
        </is>
      </c>
      <c r="F16" s="34" t="inlineStr">
        <is>
          <t>请求携带 offset；客户端上报 .bbspart 现有长度；服务端从 offset 续发；始终用 Expect{sha1,size} 做终验；服务端 tmp 文件加 TTL 清理。</t>
        </is>
      </c>
      <c r="G16" s="34" t="inlineStr">
        <is>
          <t>断线场景重传字节 → 0；大文件成功率质变；对总字节的长期节省远大于压缩。</t>
        </is>
      </c>
      <c r="H16" s="34" t="inlineStr">
        <is>
          <t>需持久化进度与清理策略；文件被替换时（sha1/mtime/size 不匹配）回退到 0。</t>
        </is>
      </c>
      <c r="I16" s="35" t="n">
        <v>3</v>
      </c>
      <c r="J16" s="36" t="inlineStr">
        <is>
          <t>P0</t>
        </is>
      </c>
      <c r="K16" s="37" t="inlineStr">
        <is>
          <t>传输中断网 10s，观察恢复后发出的字节</t>
        </is>
      </c>
      <c r="L16" s="94" t="inlineStr">
        <is>
          <t>待实施</t>
        </is>
      </c>
    </row>
    <row r="17" ht="45.8" customHeight="1">
      <c r="A17" s="31" t="inlineStr">
        <is>
          <t>C2</t>
        </is>
      </c>
      <c r="B17" s="32" t="inlineStr">
        <is>
          <t>数据规模</t>
        </is>
      </c>
      <c r="C17" s="33" t="inlineStr">
        <is>
          <t>上传/下载路径的重复整文件哈希与复制</t>
        </is>
      </c>
      <c r="D17" s="34" t="inlineStr">
        <is>
          <t>S:806 sha1OfPath(tmp) 整文件读一遍；S:821-826 再整份读入内存后 Files.write 到目标；S:831 finalizeUpload 又算一次 sha1。</t>
        </is>
      </c>
      <c r="E17" s="34" t="inlineStr">
        <is>
          <t>一次 500MB 上传至少 3 次整文件读 + 1 次整文件内存缓冲：堆峰值 O(文件)，有 OOM 风险，也直接拖慢传输吞吐。</t>
        </is>
      </c>
      <c r="F17" s="34" t="inlineStr">
        <is>
          <t>收片时用 MessageDigest 流式累计；校验与落盘合并；同盘用 Files.move（rename 零拷贝）替代写一份新文件；删掉冗余校验。</t>
        </is>
      </c>
      <c r="G17" s="34" t="inlineStr">
        <is>
          <t>上传吞吐 +30%~60%；堆峰值从 O(文件) 降到 O(片)。</t>
        </is>
      </c>
      <c r="H17" s="34" t="inlineStr">
        <is>
          <t>跨盘 move 需回退为 copy；要与 C1 的 tmp 生命周期对齐。</t>
        </is>
      </c>
      <c r="I17" s="35" t="n">
        <v>1.5</v>
      </c>
      <c r="J17" s="38" t="inlineStr">
        <is>
          <t>P1</t>
        </is>
      </c>
      <c r="K17" s="37" t="inlineStr">
        <is>
          <t>上传 500MB 时的堆峰值与耗时</t>
        </is>
      </c>
      <c r="L17" s="94" t="inlineStr">
        <is>
          <t>待实施</t>
        </is>
      </c>
    </row>
    <row r="18" ht="45.8" customHeight="1">
      <c r="A18" s="31" t="inlineStr">
        <is>
          <t>C3</t>
        </is>
      </c>
      <c r="B18" s="32" t="inlineStr">
        <is>
          <t>数据规模</t>
        </is>
      </c>
      <c r="C18" s="33" t="inlineStr">
        <is>
          <t>按类型分策略压缩：媒体不压、文本整体压</t>
        </is>
      </c>
      <c r="D18" s="34" t="inlineStr">
        <is>
          <t>P: 每个 30KB 包内由 netty deflate；PNG/OGG 本身已压缩；.bbs.json 等文本只在包内压，跨包无字典。</t>
        </is>
      </c>
      <c r="E18" s="34" t="inlineStr">
        <is>
          <t>媒体资产 deflate 纯耗 CPU 且压不动；文本资产压缩率打不满（跨包重复键名/坐标无法利用）。</t>
        </is>
      </c>
      <c r="F18" s="34" t="inlineStr">
        <is>
          <t>按扩展名分策略：已压缩媒体走直传（或 zlib level 0）；文本按「模型文件夹打包 zip」整体传输，服务端缓存 zip 与其版本。</t>
        </is>
      </c>
      <c r="G18" s="34" t="inlineStr">
        <is>
          <t>文本资产 -80%~-90%；媒体只省 CPU，不省字节。</t>
        </is>
      </c>
      <c r="H18" s="34" t="inlineStr">
        <is>
          <t>需要服务端 zip 缓存与失效；客户端要解包校验（可与 C4 合并）。</t>
        </is>
      </c>
      <c r="I18" s="35" t="n">
        <v>3</v>
      </c>
      <c r="J18" s="39" t="inlineStr">
        <is>
          <t>P2</t>
        </is>
      </c>
      <c r="K18" s="37" t="inlineStr">
        <is>
          <t>文本模型目录打包前后字节数</t>
        </is>
      </c>
      <c r="L18" s="94" t="inlineStr">
        <is>
          <t>待实施</t>
        </is>
      </c>
    </row>
    <row r="19" ht="45.8" customHeight="1">
      <c r="A19" s="31" t="inlineStr">
        <is>
          <t>C4</t>
        </is>
      </c>
      <c r="B19" s="32" t="inlineStr">
        <is>
          <t>数据规模</t>
        </is>
      </c>
      <c r="C19" s="33" t="inlineStr">
        <is>
          <t>以「模型根目录」为传输单元</t>
        </is>
      </c>
      <c r="D19" s="34" t="inlineStr">
        <is>
          <t>C:2562 sendAssetRequestChunks 按 28000B 一包请求一批路径；S:726 仍逐文件发送、逐文件分片。</t>
        </is>
      </c>
      <c r="E19" s="34" t="inlineStr">
        <is>
          <t>数千个小文件时，路径字节与「每文件 30KB 分片开销 + 请求往返」占比很高；一个模型几十个文件要几十次握手。</t>
        </is>
      </c>
      <c r="F19" s="34" t="inlineStr">
        <is>
          <t>以模型根目录为单元打 tar/zip，一次请求、一次校验、一次落盘。</t>
        </is>
      </c>
      <c r="G19" s="34" t="inlineStr">
        <is>
          <t>小文件库总字节 -10%~-20%，请求数 -90%。</t>
        </is>
      </c>
      <c r="H19" s="34" t="inlineStr">
        <is>
          <t>与 C3 合并实施最划算；单文件失败需要目录级重试。</t>
        </is>
      </c>
      <c r="I19" s="35" t="n">
        <v>3</v>
      </c>
      <c r="J19" s="39" t="inlineStr">
        <is>
          <t>P2</t>
        </is>
      </c>
      <c r="K19" s="37" t="inlineStr">
        <is>
          <t>典型模型目录的请求数与小包占比</t>
        </is>
      </c>
      <c r="L19" s="94" t="inlineStr">
        <is>
          <t>待实施</t>
        </is>
      </c>
    </row>
    <row r="20" ht="45.8" customHeight="1">
      <c r="A20" s="31" t="inlineStr">
        <is>
          <t>C5</t>
        </is>
      </c>
      <c r="B20" s="32" t="inlineStr">
        <is>
          <t>数据规模</t>
        </is>
      </c>
      <c r="C20" s="33" t="inlineStr">
        <is>
          <t>单文件上限与溢出策略</t>
        </is>
      </c>
      <c r="D20" s="34" t="inlineStr">
        <is>
          <t>T:49 asset_max_size_mb 默认 1024（范围 16~2048），S:726 起对整份文件排队发送。</t>
        </is>
      </c>
      <c r="E20" s="34" t="inlineStr">
        <is>
          <t>允许 1GB 单文件走同一条游戏连接 = 长时间占满上行，期间任何玩家都可能超时掉线。</t>
        </is>
      </c>
      <c r="F20" s="34" t="inlineStr">
        <is>
          <t>默认降到 128MB；超限文件必须走 C1 续传 + B1 预算；UI 给出明确提示与进度。</t>
        </is>
      </c>
      <c r="G20" s="34" t="inlineStr">
        <is>
          <t>消除「一个文件拖垮全场」。</t>
        </is>
      </c>
      <c r="H20" s="34" t="inlineStr">
        <is>
          <t>改变默认行为，需要文档与迁移说明。</t>
        </is>
      </c>
      <c r="I20" s="35" t="n">
        <v>0.5</v>
      </c>
      <c r="J20" s="38" t="inlineStr">
        <is>
          <t>P1</t>
        </is>
      </c>
      <c r="K20" s="37" t="inlineStr">
        <is>
          <t>超限文件的上传/下载行为与提示</t>
        </is>
      </c>
      <c r="L20" s="94" t="inlineStr">
        <is>
          <t>待实施</t>
        </is>
      </c>
    </row>
    <row r="21" ht="58.4" customHeight="1">
      <c r="A21" s="31" t="inlineStr">
        <is>
          <t>D1</t>
        </is>
      </c>
      <c r="B21" s="32" t="inlineStr">
        <is>
          <t>触发节流</t>
        </is>
      </c>
      <c r="C21" s="33" t="inlineStr">
        <is>
          <t>自身写盘不应触发本地 resync</t>
        </is>
      </c>
      <c r="D21" s="34" t="inlineStr">
        <is>
          <t>W 监听整个 assets 目录；下载/推送落盘（C:1030-1041，最终 Files.move 到正式路径）同样产生文件事件；C:942 triggerAutoSync 被本地事件直接触发。</t>
        </is>
      </c>
      <c r="E21" s="34" t="inlineStr">
        <is>
          <t>一次 300MB 下载 = 600+ 次写事件 → 多轮 resync（每轮 9B 下行 + 142KB 上行，见 A1/A2），形成「下载 → 重差 → 全量上报」的放大环，越下载越卡。</t>
        </is>
      </c>
      <c r="F21" s="34" t="inlineStr">
        <is>
          <t>写盘前后登记 suppressLocalEvents(path, TTL)（复用 AssetSyncTracker 状态），watcher 命中抑制表直接丢弃；或维护「期望 sha1 表」做二次过滤。</t>
        </is>
      </c>
      <c r="G21" s="34" t="inlineStr">
        <is>
          <t>下载期控制面流量 -90% 以上；下载速度不再被 resync 抢占。</t>
        </is>
      </c>
      <c r="H21" s="34" t="inlineStr">
        <is>
          <t>需覆盖全部写盘路径（下载、解包、用户手改）；TTL 太小会漏、太大会漏同步。</t>
        </is>
      </c>
      <c r="I21" s="35" t="n">
        <v>1.5</v>
      </c>
      <c r="J21" s="36" t="inlineStr">
        <is>
          <t>P0</t>
        </is>
      </c>
      <c r="K21" s="37" t="inlineStr">
        <is>
          <t>下载 300MB 期间统计 resync 次数与上报字节</t>
        </is>
      </c>
      <c r="L21" s="93" t="inlineStr">
        <is>
          <t>已实现</t>
        </is>
      </c>
    </row>
    <row r="22" ht="58.4" customHeight="1">
      <c r="A22" s="31" t="inlineStr">
        <is>
          <t>D2</t>
        </is>
      </c>
      <c r="B22" s="32" t="inlineStr">
        <is>
          <t>触发节流</t>
        </is>
      </c>
      <c r="C22" s="33" t="inlineStr">
        <is>
          <t>自动同步改为 revision 驱动 + 指数退避</t>
        </is>
      </c>
      <c r="D22" s="34" t="inlineStr">
        <is>
          <t>T:51-52 auto_sync 默认 false、冷却 20s；C:942-980 triggerAutoSync 有三处触发（服务端变更 ping C:916、本地事件 C:934、延迟重触发 C:977）。</t>
        </is>
      </c>
      <c r="E22" s="34" t="inlineStr">
        <is>
          <t>一轮编辑里 watcher 抖动 + 服务端 ping → 每 20s 一次 resync；每次都要服务端全树 walk + 客户端全量上报，且不区分「是否真的变了」。</t>
        </is>
      </c>
      <c r="F22" s="34" t="inlineStr">
        <is>
          <t>服务端在变更广播里带 revision；客户端 revision 相同则完全不发请求；本地变更只做本地标记、不立即上行；连续变化用指数退避收敛。</t>
        </is>
      </c>
      <c r="G22" s="34" t="inlineStr">
        <is>
          <t>稳态 resync 次数 -80%~-95%，配合 A1/A2 后控制面字节趋近 0。</t>
        </is>
      </c>
      <c r="H22" s="34" t="inlineStr">
        <is>
          <t>依赖 A3 的 revision；退避参数需可配。</t>
        </is>
      </c>
      <c r="I22" s="35" t="n">
        <v>2</v>
      </c>
      <c r="J22" s="38" t="inlineStr">
        <is>
          <t>P1</t>
        </is>
      </c>
      <c r="K22" s="37" t="inlineStr">
        <is>
          <t>长时间编辑场景下每分钟的 resync 次数</t>
        </is>
      </c>
      <c r="L22" s="94" t="inlineStr">
        <is>
          <t>待实施</t>
        </is>
      </c>
    </row>
    <row r="23" ht="45.8" customHeight="1">
      <c r="A23" s="31" t="inlineStr">
        <is>
          <t>D3</t>
        </is>
      </c>
      <c r="B23" s="32" t="inlineStr">
        <is>
          <t>触发节流</t>
        </is>
      </c>
      <c r="C23" s="33" t="inlineStr">
        <is>
          <t>多人 resync 请求合并</t>
        </is>
      </c>
      <c r="D23" s="34" t="inlineStr">
        <is>
          <t>S:651 每个 resync 请求各起一个线程、各做一次全树 walk。</t>
        </is>
      </c>
      <c r="E23" s="34" t="inlineStr">
        <is>
          <t>N 人同时登录/同时收到变更 ping = N 次全树构建，直接打满磁盘与 CPU，主线程被序列化任务挤占。</t>
        </is>
      </c>
      <c r="F23" s="34" t="inlineStr">
        <is>
          <t>1 秒窗口内合并为一次构建，再对这批玩家多播同一份字节。</t>
        </is>
      </c>
      <c r="G23" s="34" t="inlineStr">
        <is>
          <t>服务端 CPU/IO -75%，高峰期 tick 更稳。</t>
        </is>
      </c>
      <c r="H23" s="34" t="inlineStr">
        <is>
          <t>响应最多延迟 1s（可接受）。</t>
        </is>
      </c>
      <c r="I23" s="35" t="n">
        <v>1.5</v>
      </c>
      <c r="J23" s="39" t="inlineStr">
        <is>
          <t>P2</t>
        </is>
      </c>
      <c r="K23" s="37" t="inlineStr">
        <is>
          <t>多人同时登录时的服务端 CPU 峰值</t>
        </is>
      </c>
      <c r="L23" s="94" t="inlineStr">
        <is>
          <t>待实施</t>
        </is>
      </c>
    </row>
    <row r="24" ht="45.8" customHeight="1">
      <c r="A24" s="31" t="inlineStr">
        <is>
          <t>D4</t>
        </is>
      </c>
      <c r="B24" s="32" t="inlineStr">
        <is>
          <t>触发节流</t>
        </is>
      </c>
      <c r="C24" s="33" t="inlineStr">
        <is>
          <t>控制面优先、资产让路（抢占与 tick 预算）</t>
        </is>
      </c>
      <c r="D24" s="34" t="inlineStr">
        <is>
          <t>资产、光标、影片数据同步、keepalive 共用同一条连接与同一个主线程任务队列，没有优先级。</t>
        </is>
      </c>
      <c r="E24" s="34" t="inlineStr">
        <is>
          <t>大文件传输时，光标/影片数据/心跳排在其后 → 编辑卡顿、协同延迟、疑似「服务器卡」，极端时触发超时。</t>
        </is>
      </c>
      <c r="F24" s="34" t="inlineStr">
        <is>
          <t>控制面每 tick 限额优先发送；资产只在 tick 剩余预算内发；检测到玩家正在编辑（近期有编辑包）时暂停该玩家资产 bulk。</t>
        </is>
      </c>
      <c r="G24" s="34" t="inlineStr">
        <is>
          <t>交互延迟下降，「传输时卡顿/掉线」类投诉减少。</t>
        </is>
      </c>
      <c r="H24" s="34" t="inlineStr">
        <is>
          <t>需要 tick 预算模型与优先级定义；调试复杂。</t>
        </is>
      </c>
      <c r="I24" s="35" t="n">
        <v>3</v>
      </c>
      <c r="J24" s="39" t="inlineStr">
        <is>
          <t>P2</t>
        </is>
      </c>
      <c r="K24" s="37" t="inlineStr">
        <is>
          <t>传输期间的光标/编辑包延迟分位数</t>
        </is>
      </c>
      <c r="L24" s="94" t="inlineStr">
        <is>
          <t>待实施</t>
        </is>
      </c>
    </row>
    <row r="25" ht="45.8" customHeight="1">
      <c r="A25" s="31" t="inlineStr">
        <is>
          <t>E1</t>
        </is>
      </c>
      <c r="B25" s="32" t="inlineStr">
        <is>
          <t>可观测</t>
        </is>
      </c>
      <c r="C25" s="33" t="inlineStr">
        <is>
          <t>带宽/吞吐指标与诊断命令</t>
        </is>
      </c>
      <c r="D25" s="34" t="inlineStr">
        <is>
          <t>C:98-105 只有 assetDownload/Upload 的 Total/Done/Errors 与 FinishedAt 计数；无字节数、无吞吐、无控制面往返统计。</t>
        </is>
      </c>
      <c r="E25" s="34" t="inlineStr">
        <is>
          <t>无法判断瓶颈究竟是上行饱和、清单风暴还是 CPU 抖动——这会让后续所有优化无法验证。</t>
        </is>
      </c>
      <c r="F25" s="34" t="inlineStr">
        <is>
          <t>统计每文件字节/耗时/吞吐、控制面往返次数与字节、重试与续传次数；提供 /bbs_together diag 与服务端日志采样（1 行/10s）。</t>
        </is>
      </c>
      <c r="G25" s="34" t="inlineStr">
        <is>
          <t>所有优化都可量化验收；能直接定位真实瓶颈。</t>
        </is>
      </c>
      <c r="H25" s="34" t="inlineStr">
        <is>
          <t>无风险；建议先于其他项落地。</t>
        </is>
      </c>
      <c r="I25" s="35" t="n">
        <v>2</v>
      </c>
      <c r="J25" s="36" t="inlineStr">
        <is>
          <t>P0</t>
        </is>
      </c>
      <c r="K25" s="37" t="inlineStr">
        <is>
          <t>diag 输出的指标是否足以解释一次卡顿</t>
        </is>
      </c>
      <c r="L25" s="93" t="inlineStr">
        <is>
          <t>已实现</t>
        </is>
      </c>
    </row>
    <row r="26" ht="45.8" customHeight="1">
      <c r="A26" s="31" t="inlineStr">
        <is>
          <t>E2</t>
        </is>
      </c>
      <c r="B26" s="32" t="inlineStr">
        <is>
          <t>可观测</t>
        </is>
      </c>
      <c r="C26" s="33" t="inlineStr">
        <is>
          <t>自适应限速（AIMD）</t>
        </is>
      </c>
      <c r="D26" s="34" t="inlineStr">
        <is>
          <t>固定 40ms/512KB 推进；T:54-58 只提供手工配置。</t>
        </is>
      </c>
      <c r="E26" s="34" t="inlineStr">
        <is>
          <t>不同服务器/家用带宽差异极大，手工配置永远是错的：要么太慢，要么撑爆。</t>
        </is>
      </c>
      <c r="F26" s="34" t="inlineStr">
        <is>
          <t>基于 ACK RTT 与重传做 AIMD（加性增、乘性减）；检测到玩家 tick 延迟上升或掉线自动降速并持久化。</t>
        </is>
      </c>
      <c r="G26" s="34" t="inlineStr">
        <is>
          <t>免调参即不撑爆链路；弱网自动收敛。</t>
        </is>
      </c>
      <c r="H26" s="34" t="inlineStr">
        <is>
          <t>需要 E1 采样与 B2 的 ACK 通道。</t>
        </is>
      </c>
      <c r="I26" s="35" t="n">
        <v>3</v>
      </c>
      <c r="J26" s="39" t="inlineStr">
        <is>
          <t>P2</t>
        </is>
      </c>
      <c r="K26" s="37" t="inlineStr">
        <is>
          <t>人为制造丢包，观察速率自适应曲线</t>
        </is>
      </c>
      <c r="L26" s="94" t="inlineStr">
        <is>
          <t>待实施</t>
        </is>
      </c>
    </row>
    <row r="27" ht="45.8" customHeight="1">
      <c r="A27" s="31" t="inlineStr">
        <is>
          <t>E3</t>
        </is>
      </c>
      <c r="B27" s="32" t="inlineStr">
        <is>
          <t>可观测</t>
        </is>
      </c>
      <c r="C27" s="33" t="inlineStr">
        <is>
          <t>断连归因提示</t>
        </is>
      </c>
      <c r="D27" s="34" t="inlineStr">
        <is>
          <t>断连只写日志，用户侧无任何解释。</t>
        </is>
      </c>
      <c r="E27" s="34" t="inlineStr">
        <is>
          <t>用户不知道掉线是同步造成的，只会归因于「服务器差/网络差」，优化收益无法被感知。</t>
        </is>
      </c>
      <c r="F27" s="34" t="inlineStr">
        <is>
          <t>断连时若传输队列非空，日志与 UI 明确提示「可能由资产同步带宽占用导致」，并把下一轮速率下调一级。</t>
        </is>
      </c>
      <c r="G27" s="34" t="inlineStr">
        <is>
          <t>降低支持成本，让优化可见。</t>
        </is>
      </c>
      <c r="H27" s="34" t="inlineStr">
        <is>
          <t>无。</t>
        </is>
      </c>
      <c r="I27" s="35" t="n">
        <v>1</v>
      </c>
      <c r="J27" s="39" t="inlineStr">
        <is>
          <t>P2</t>
        </is>
      </c>
      <c r="K27" s="37" t="inlineStr">
        <is>
          <t>模拟断连时的提示文案与状态</t>
        </is>
      </c>
      <c r="L27" s="94" t="inlineStr">
        <is>
          <t>待实施</t>
        </is>
      </c>
    </row>
    <row r="28" ht="58.4" customHeight="1">
      <c r="A28" s="31" t="inlineStr">
        <is>
          <t>F1</t>
        </is>
      </c>
      <c r="B28" s="32" t="inlineStr">
        <is>
          <t>架构</t>
        </is>
      </c>
      <c r="C28" s="33" t="inlineStr">
        <is>
          <t>资产走独立 HTTP(S)/CDN 通道</t>
        </is>
      </c>
      <c r="D28" s="34" t="inlineStr">
        <is>
          <t>T:16-17、T:41-42 已定义 cdnUrl / cdnToken，但全项目无任何引用（死配置）。所有资产仍走 Minecraft 自定义包。</t>
        </is>
      </c>
      <c r="E28" s="34" t="inlineStr">
        <is>
          <t>资产与游戏流量共用一条 TCP，是断连的结构性根因；30KB 自定义分片 + netty deflate 也远不如 HTTP 多连接 + gzip 高效。</t>
        </is>
      </c>
      <c r="F28" s="34" t="inlineStr">
        <is>
          <t>服务端提供只读 HTTP 端点（或静态托管 assets 目录），清单携带每个文件的 URL + etag；客户端用 HttpClient 并发下载，支持 Range 续传与 gzip；有 CDN 时服务端出口归零。</t>
        </is>
      </c>
      <c r="G28" s="34" t="inlineStr">
        <is>
          <t>游戏连接上的资产字节 → 0（彻底消除同步掉线）；吞吐提升 3~10 倍；断线不影响下载进度。</t>
        </is>
      </c>
      <c r="H28" s="34" t="inlineStr">
        <is>
          <t>需开放端口/反代与鉴权（token 已有）；NAT/内网场景要回退到现有通道；工作量大。</t>
        </is>
      </c>
      <c r="I28" s="35" t="n">
        <v>10</v>
      </c>
      <c r="J28" s="39" t="inlineStr">
        <is>
          <t>P2</t>
        </is>
      </c>
      <c r="K28" s="37" t="inlineStr">
        <is>
          <t>对比同一文件走 HTTP 与走插件通道的吞吐</t>
        </is>
      </c>
      <c r="L28" s="94" t="inlineStr">
        <is>
          <t>待实施</t>
        </is>
      </c>
    </row>
    <row r="29" ht="45.8" customHeight="1">
      <c r="A29" s="31" t="inlineStr">
        <is>
          <t>F2</t>
        </is>
      </c>
      <c r="B29" s="32" t="inlineStr">
        <is>
          <t>架构</t>
        </is>
      </c>
      <c r="C29" s="33" t="inlineStr">
        <is>
          <t>独立「资产通道」连接（不依赖 CDN）</t>
        </is>
      </c>
      <c r="D29" s="34" t="inlineStr">
        <is>
          <t>同上：控制面与数据面共用一条连接，没有独立的流控与重连策略。</t>
        </is>
      </c>
      <c r="E29" s="34" t="inlineStr">
        <is>
          <t>同 F1；且 MC 连接的读超时与 keepalive 机制会被大流量连带触发。</t>
        </is>
      </c>
      <c r="F29" s="34" t="inlineStr">
        <is>
          <t>资产走独立的 TCP/WebSocket 连接（同 mod 私有协议，独立流控、独立重连、独立限速），游戏连接只传控制信号与小数据。</t>
        </is>
      </c>
      <c r="G29" s="34" t="inlineStr">
        <is>
          <t>获得 F1 的大部分收益，无需外部端口与反代。</t>
        </is>
      </c>
      <c r="H29" s="34" t="inlineStr">
        <is>
          <t>工作量大；需要自己处理鉴权与多路复用。</t>
        </is>
      </c>
      <c r="I29" s="35" t="n">
        <v>8</v>
      </c>
      <c r="J29" s="39" t="inlineStr">
        <is>
          <t>P2</t>
        </is>
      </c>
      <c r="K29" s="37" t="inlineStr">
        <is>
          <t>资产传输期间游戏 P99 延迟</t>
        </is>
      </c>
      <c r="L29" s="94" t="inlineStr">
        <is>
          <t>待实施</t>
        </is>
      </c>
    </row>
    <row r="30" ht="45.8" customHeight="1">
      <c r="A30" s="31" t="inlineStr">
        <is>
          <t>X1</t>
        </is>
      </c>
      <c r="B30" s="32" t="inlineStr">
        <is>
          <t>边界说明</t>
        </is>
      </c>
      <c r="C30" s="33" t="inlineStr">
        <is>
          <t>必须传的字节（不要试图「优化」掉）</t>
        </is>
      </c>
      <c r="D30" s="34" t="inlineStr">
        <is>
          <t>资产本体（模型 json/png/ogg）首次同步必须完整到达每个客户端。</t>
        </is>
      </c>
      <c r="E30" s="34" t="inlineStr">
        <is>
          <t>把「初始全量下载」当成浪费是错误目标：它是一次性成本，且随本地缓存自然摊销。</t>
        </is>
      </c>
      <c r="F30" s="34" t="inlineStr">
        <is>
          <t>不做压缩花招，而是把一次性成本做「可续传、可后台、可限速」（C1 + B1 + F1）。</t>
        </is>
      </c>
      <c r="G30" s="34" t="inlineStr">
        <is>
          <t>首次全量的字节不变，但失败率与重传字节显著下降。</t>
        </is>
      </c>
      <c r="H30" s="34" t="inlineStr">
        <is>
          <t>无。</t>
        </is>
      </c>
      <c r="I30" s="35" t="n">
        <v>0</v>
      </c>
      <c r="J30" s="40" t="inlineStr">
        <is>
          <t>—</t>
        </is>
      </c>
      <c r="K30" s="37" t="inlineStr">
        <is>
          <t>首次全量后重传字节应趋近 0</t>
        </is>
      </c>
      <c r="L30" s="94" t="inlineStr">
        <is>
          <t>—</t>
        </is>
      </c>
    </row>
    <row r="32" ht="22" customHeight="1">
      <c r="A32" s="41" t="inlineStr">
        <is>
          <t>合计工作量（不含 X1 边界说明）</t>
        </is>
      </c>
      <c r="B32" s="65" t="n"/>
      <c r="C32" s="65" t="n"/>
      <c r="D32" s="65" t="n"/>
      <c r="E32" s="65" t="n"/>
      <c r="F32" s="65" t="n"/>
      <c r="G32" s="65" t="n"/>
      <c r="H32" s="64" t="n"/>
      <c r="I32" s="42" t="n">
        <v>69</v>
      </c>
      <c r="J32" s="43" t="inlineStr"/>
      <c r="K32" s="43" t="inlineStr"/>
    </row>
    <row r="33">
      <c r="A33" s="95" t="inlineStr">
        <is>
          <t>状态列：已实现 = 本次代码改动已落地并通过编译（A1/A2/B1/B4/D1/E1）；待实施 = 仅方案，尚未改代码。</t>
        </is>
      </c>
    </row>
  </sheetData>
  <autoFilter ref="A4:L30"/>
  <mergeCells count="3">
    <mergeCell ref="A2:K2"/>
    <mergeCell ref="A32:H32"/>
    <mergeCell ref="A1:K1"/>
  </mergeCells>
  <printOptions horizontalCentered="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4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58" customWidth="1" min="4" max="4"/>
  </cols>
  <sheetData>
    <row r="1" ht="28" customHeight="1">
      <c r="A1" s="28" t="inlineStr">
        <is>
          <t>测算模型（黄色单元格可改，其余为公式，结论自动重算）</t>
        </is>
      </c>
    </row>
    <row r="3" ht="22" customHeight="1">
      <c r="A3" s="44" t="inlineStr">
        <is>
          <t>一、输入参数</t>
        </is>
      </c>
    </row>
    <row r="4" ht="20" customHeight="1">
      <c r="A4" s="45" t="inlineStr">
        <is>
          <t>参数</t>
        </is>
      </c>
      <c r="B4" s="45" t="inlineStr">
        <is>
          <t>值</t>
        </is>
      </c>
      <c r="C4" s="45" t="inlineStr">
        <is>
          <t>单位</t>
        </is>
      </c>
      <c r="D4" s="45" t="inlineStr">
        <is>
          <t>含义 / 取值说明</t>
        </is>
      </c>
    </row>
    <row r="5" ht="20" customHeight="1">
      <c r="A5" s="46" t="inlineStr">
        <is>
          <t>F 资产文件数</t>
        </is>
      </c>
      <c r="B5" s="47" t="n">
        <v>1500</v>
      </c>
      <c r="C5" s="48" t="inlineStr">
        <is>
          <t>个</t>
        </is>
      </c>
      <c r="D5" s="49" t="inlineStr">
        <is>
          <t>服务端 assets 目录下的文件总数</t>
        </is>
      </c>
    </row>
    <row r="6" ht="20" customHeight="1">
      <c r="A6" s="46" t="inlineStr">
        <is>
          <t>L 平均相对路径长度</t>
        </is>
      </c>
      <c r="B6" s="47" t="n">
        <v>45</v>
      </c>
      <c r="C6" s="48" t="inlineStr">
        <is>
          <t>字符</t>
        </is>
      </c>
      <c r="D6" s="49" t="inlineStr">
        <is>
          <t>清单与上报里每条记录都要带的路径</t>
        </is>
      </c>
    </row>
    <row r="7" ht="20" customHeight="1">
      <c r="A7" s="46" t="inlineStr">
        <is>
          <t>N 在线玩家数</t>
        </is>
      </c>
      <c r="B7" s="47" t="n">
        <v>4</v>
      </c>
      <c r="C7" s="48" t="inlineStr">
        <is>
          <t>人</t>
        </is>
      </c>
      <c r="D7" s="49" t="inlineStr">
        <is>
          <t>扇出与多播的分母</t>
        </is>
      </c>
    </row>
    <row r="8" ht="20" customHeight="1">
      <c r="A8" s="46" t="inlineStr">
        <is>
          <t>S 平均文件大小</t>
        </is>
      </c>
      <c r="B8" s="47" t="n">
        <v>0.8</v>
      </c>
      <c r="C8" s="48" t="inlineStr">
        <is>
          <t>MB</t>
        </is>
      </c>
      <c r="D8" s="49" t="inlineStr">
        <is>
          <t>用于估算扇出与重传</t>
        </is>
      </c>
    </row>
    <row r="9" ht="20" customHeight="1">
      <c r="A9" s="46" t="inlineStr">
        <is>
          <t>R 一次会话 resync 次数</t>
        </is>
      </c>
      <c r="B9" s="47" t="n">
        <v>120</v>
      </c>
      <c r="C9" s="48" t="inlineStr">
        <is>
          <t>次</t>
        </is>
      </c>
      <c r="D9" s="49" t="inlineStr">
        <is>
          <t>开启自动同步且频繁改文件时约 120；纯手动场景可改 3~5</t>
        </is>
      </c>
    </row>
    <row r="10" ht="20" customHeight="1">
      <c r="A10" s="46" t="inlineStr">
        <is>
          <t>U 一次会话新增/修改文件数</t>
        </is>
      </c>
      <c r="B10" s="47" t="n">
        <v>80</v>
      </c>
      <c r="C10" s="48" t="inlineStr">
        <is>
          <t>个</t>
        </is>
      </c>
      <c r="D10" s="49" t="inlineStr">
        <is>
          <t>每个文件都会触发一次 inventory 上报</t>
        </is>
      </c>
    </row>
    <row r="11" ht="20" customHeight="1">
      <c r="A11" s="46" t="inlineStr">
        <is>
          <t>C 服务端变更次数（触发全量清单）</t>
        </is>
      </c>
      <c r="B11" s="47" t="n">
        <v>15</v>
      </c>
      <c r="C11" s="48" t="inlineStr">
        <is>
          <t>次</t>
        </is>
      </c>
      <c r="D11" s="49" t="inlineStr">
        <is>
          <t>每次变更给每个在线客户端各发一份完整 manifest</t>
        </is>
      </c>
    </row>
    <row r="12" ht="20" customHeight="1">
      <c r="A12" s="46" t="inlineStr">
        <is>
          <t>PUSH 是否开启接收推送</t>
        </is>
      </c>
      <c r="B12" s="47" t="n">
        <v>1</v>
      </c>
      <c r="C12" s="48" t="inlineStr">
        <is>
          <t>0/1</t>
        </is>
      </c>
      <c r="D12" s="49" t="inlineStr">
        <is>
          <t>1=开启（S:844 整份扇出）；0=关闭，扇出项归零</t>
        </is>
      </c>
    </row>
    <row r="13" ht="20" customHeight="1">
      <c r="A13" s="46" t="inlineStr">
        <is>
          <t>D0 首次全量下载量</t>
        </is>
      </c>
      <c r="B13" s="47" t="n">
        <v>1200</v>
      </c>
      <c r="C13" s="48" t="inlineStr">
        <is>
          <t>MB</t>
        </is>
      </c>
      <c r="D13" s="49" t="inlineStr">
        <is>
          <t>每客户端首次同步需要拉取的总量</t>
        </is>
      </c>
    </row>
    <row r="14" ht="20" customHeight="1">
      <c r="A14" s="46" t="inlineStr">
        <is>
          <t>T 会话内传输中断次数</t>
        </is>
      </c>
      <c r="B14" s="47" t="n">
        <v>20</v>
      </c>
      <c r="C14" s="48" t="inlineStr">
        <is>
          <t>次</t>
        </is>
      </c>
      <c r="D14" s="49" t="inlineStr">
        <is>
          <t>每次中断当前都会整文件重传</t>
        </is>
      </c>
    </row>
    <row r="15" ht="20" customHeight="1">
      <c r="A15" s="46" t="inlineStr">
        <is>
          <t>BUCKETS 清单分桶数</t>
        </is>
      </c>
      <c r="B15" s="47" t="n">
        <v>32</v>
      </c>
      <c r="C15" s="48" t="inlineStr">
        <is>
          <t>个</t>
        </is>
      </c>
      <c r="D15" s="49" t="inlineStr">
        <is>
          <t>A3 落地后单文件变更只需发 1 个桶</t>
        </is>
      </c>
    </row>
    <row r="17" ht="22" customHeight="1">
      <c r="A17" s="44" t="inlineStr">
        <is>
          <t>二、单包体积（字节）</t>
        </is>
      </c>
    </row>
    <row r="18" ht="20" customHeight="1">
      <c r="A18" s="45" t="inlineStr">
        <is>
          <t>项目</t>
        </is>
      </c>
      <c r="B18" s="45" t="inlineStr">
        <is>
          <t>字节</t>
        </is>
      </c>
      <c r="C18" s="45" t="inlineStr">
        <is>
          <t>公式</t>
        </is>
      </c>
      <c r="D18" s="45" t="inlineStr">
        <is>
          <t>说明</t>
        </is>
      </c>
    </row>
    <row r="19">
      <c r="A19" s="46" t="inlineStr">
        <is>
          <t>inventory 单次上报</t>
        </is>
      </c>
      <c r="B19" s="50">
        <f>B5*(B6+40+12)</f>
        <v/>
      </c>
      <c r="C19" s="51" t="inlineStr">
        <is>
          <t>F*(L+40+12)</t>
        </is>
      </c>
      <c r="D19" s="49" t="inlineStr">
        <is>
          <t>路径 + 40 字节 sha1 + JSON 引号冒号约 12 字节</t>
        </is>
      </c>
    </row>
    <row r="20">
      <c r="A20" s="46" t="inlineStr">
        <is>
          <t>manifest 单次下发</t>
        </is>
      </c>
      <c r="B20" s="50">
        <f>B5*(B6+40+19+12)</f>
        <v/>
      </c>
      <c r="C20" s="51" t="inlineStr">
        <is>
          <t>F*(L+40+19+12)</t>
        </is>
      </c>
      <c r="D20" s="49" t="inlineStr">
        <is>
          <t>比 inventory 多一个 19 位毫秒时间戳</t>
        </is>
      </c>
    </row>
    <row r="22" ht="22" customHeight="1">
      <c r="A22" s="44" t="inlineStr">
        <is>
          <t>三、现状成本（MB / 一次会话）</t>
        </is>
      </c>
    </row>
    <row r="23" ht="20" customHeight="1">
      <c r="A23" s="45" t="inlineStr">
        <is>
          <t>指标</t>
        </is>
      </c>
      <c r="B23" s="45" t="inlineStr">
        <is>
          <t>MB</t>
        </is>
      </c>
      <c r="C23" s="45" t="inlineStr">
        <is>
          <t>对应项</t>
        </is>
      </c>
      <c r="D23" s="45" t="inlineStr">
        <is>
          <t>说明</t>
        </is>
      </c>
    </row>
    <row r="24" ht="20" customHeight="1">
      <c r="A24" s="46" t="inlineStr">
        <is>
          <t>每客户端上行 · 控制面</t>
        </is>
      </c>
      <c r="B24" s="52">
        <f>(B9*B19+B10*B19)/1048576</f>
        <v/>
      </c>
      <c r="C24" s="51" t="inlineStr">
        <is>
          <t>A1/A2</t>
        </is>
      </c>
      <c r="D24" s="49" t="inlineStr">
        <is>
          <t>每次 diff 结束上报一次 + 每个 push 文件完成再上报一次，均为全量</t>
        </is>
      </c>
    </row>
    <row r="25" ht="20" customHeight="1">
      <c r="A25" s="46" t="inlineStr">
        <is>
          <t>每客户端下行 · 控制面</t>
        </is>
      </c>
      <c r="B25" s="52">
        <f>(B9*9+B11*B20)/1048576</f>
        <v/>
      </c>
      <c r="C25" s="51" t="inlineStr">
        <is>
          <t>A3/A4</t>
        </is>
      </c>
      <c r="D25" s="49" t="inlineStr">
        <is>
          <t>unchanged 只回 9 字节，但每次变更都要给每个客户端发完整 manifest</t>
        </is>
      </c>
    </row>
    <row r="26" ht="20" customHeight="1">
      <c r="A26" s="46" t="inlineStr">
        <is>
          <t>服务端出口 · 推送扇出</t>
        </is>
      </c>
      <c r="B26" s="52">
        <f>B10*B8*(B7-1)*B12</f>
        <v/>
      </c>
      <c r="C26" s="51" t="inlineStr">
        <is>
          <t>B4</t>
        </is>
      </c>
      <c r="D26" s="49" t="inlineStr">
        <is>
          <t>U 个文件 × 平均大小 × (N-1) 个其他玩家</t>
        </is>
      </c>
    </row>
    <row r="27" ht="20" customHeight="1">
      <c r="A27" s="46" t="inlineStr">
        <is>
          <t>断线重传浪费</t>
        </is>
      </c>
      <c r="B27" s="52">
        <f>B14*B8</f>
        <v/>
      </c>
      <c r="C27" s="51" t="inlineStr">
        <is>
          <t>C1</t>
        </is>
      </c>
      <c r="D27" s="49" t="inlineStr">
        <is>
          <t>每次中断都整文件从头再来</t>
        </is>
      </c>
    </row>
    <row r="28" ht="20" customHeight="1">
      <c r="A28" s="46" t="inlineStr">
        <is>
          <t>首次全量下载</t>
        </is>
      </c>
      <c r="B28" s="52">
        <f>B13*B7</f>
        <v/>
      </c>
      <c r="C28" s="51" t="inlineStr">
        <is>
          <t>X1</t>
        </is>
      </c>
      <c r="D28" s="49" t="inlineStr">
        <is>
          <t>一次性成本，不应试图消除，只需可续传/可限速</t>
        </is>
      </c>
    </row>
    <row r="30" ht="22" customHeight="1">
      <c r="A30" s="44" t="inlineStr">
        <is>
          <t>四、优化后成本（MB / 一次会话）</t>
        </is>
      </c>
    </row>
    <row r="31" ht="20" customHeight="1">
      <c r="A31" s="45" t="inlineStr">
        <is>
          <t>指标</t>
        </is>
      </c>
      <c r="B31" s="45" t="inlineStr">
        <is>
          <t>MB</t>
        </is>
      </c>
      <c r="C31" s="45" t="inlineStr">
        <is>
          <t>对应项</t>
        </is>
      </c>
      <c r="D31" s="45" t="inlineStr">
        <is>
          <t>说明</t>
        </is>
      </c>
    </row>
    <row r="32" ht="20" customHeight="1">
      <c r="A32" s="46" t="inlineStr">
        <is>
          <t>每客户端上行 · 控制面</t>
        </is>
      </c>
      <c r="B32" s="52">
        <f>(B9*0.1*200+B10*60)/1048576</f>
        <v/>
      </c>
      <c r="C32" s="51" t="inlineStr">
        <is>
          <t>A1/A2</t>
        </is>
      </c>
      <c r="D32" s="49" t="inlineStr">
        <is>
          <t>只有真正有差异的 10% resync 才发一次 200B 增量；每个变更文件只发 60B</t>
        </is>
      </c>
    </row>
    <row r="33" ht="20" customHeight="1">
      <c r="A33" s="46" t="inlineStr">
        <is>
          <t>每客户端下行 · 控制面</t>
        </is>
      </c>
      <c r="B33" s="52">
        <f>(B11*B20/B15+B9*9)/1048576</f>
        <v/>
      </c>
      <c r="C33" s="51" t="inlineStr">
        <is>
          <t>A3/A4</t>
        </is>
      </c>
      <c r="D33" s="49" t="inlineStr">
        <is>
          <t>变更只发 1 个桶的条目；unchanged 仍是 9B</t>
        </is>
      </c>
    </row>
    <row r="34" ht="20" customHeight="1">
      <c r="A34" s="46" t="inlineStr">
        <is>
          <t>服务端出口 · 推送扇出</t>
        </is>
      </c>
      <c r="B34" s="52">
        <f>B10*60/1048576</f>
        <v/>
      </c>
      <c r="C34" s="51" t="inlineStr">
        <is>
          <t>B4</t>
        </is>
      </c>
      <c r="D34" s="49" t="inlineStr">
        <is>
          <t>只广播 60B 变更通知，文件由客户端按需拉取</t>
        </is>
      </c>
    </row>
    <row r="35" ht="20" customHeight="1">
      <c r="A35" s="46" t="inlineStr">
        <is>
          <t>断线重传浪费</t>
        </is>
      </c>
      <c r="B35" s="52">
        <f>0</f>
        <v/>
      </c>
      <c r="C35" s="51" t="inlineStr">
        <is>
          <t>C1</t>
        </is>
      </c>
      <c r="D35" s="49" t="inlineStr">
        <is>
          <t>offset 续传后趋近 0</t>
        </is>
      </c>
    </row>
    <row r="36" ht="20" customHeight="1">
      <c r="A36" s="46" t="inlineStr">
        <is>
          <t>首次全量下载</t>
        </is>
      </c>
      <c r="B36" s="52">
        <f>B13*B7</f>
        <v/>
      </c>
      <c r="C36" s="51" t="inlineStr">
        <is>
          <t>X1</t>
        </is>
      </c>
      <c r="D36" s="49" t="inlineStr">
        <is>
          <t>与现状相同</t>
        </is>
      </c>
    </row>
    <row r="38" ht="22" customHeight="1">
      <c r="A38" s="44" t="inlineStr">
        <is>
          <t>五、结论</t>
        </is>
      </c>
    </row>
    <row r="39" ht="20" customHeight="1">
      <c r="A39" s="45" t="inlineStr">
        <is>
          <t>口径</t>
        </is>
      </c>
      <c r="B39" s="45" t="inlineStr">
        <is>
          <t>现状 MB</t>
        </is>
      </c>
      <c r="C39" s="45" t="inlineStr">
        <is>
          <t>优化后 MB</t>
        </is>
      </c>
      <c r="D39" s="45" t="inlineStr">
        <is>
          <t>降幅</t>
        </is>
      </c>
    </row>
    <row r="40" ht="22" customHeight="1">
      <c r="A40" s="46" t="inlineStr">
        <is>
          <t>可变开销合计（不含首次全量）</t>
        </is>
      </c>
      <c r="B40" s="53">
        <f>B7*(B24+B25)+B26+B27</f>
        <v/>
      </c>
      <c r="C40" s="54">
        <f>B7*(B32+B33)+B34+B35</f>
        <v/>
      </c>
      <c r="D40" s="55">
        <f>IF(B40=0,"—",1-C40/B40)</f>
        <v/>
      </c>
    </row>
    <row r="41" ht="22" customHeight="1">
      <c r="A41" s="46" t="inlineStr">
        <is>
          <t>其中：控制面双向（全客户端合计）</t>
        </is>
      </c>
      <c r="B41" s="53">
        <f>B7*(B24+B25)</f>
        <v/>
      </c>
      <c r="C41" s="54">
        <f>B7*(B32+B33)</f>
        <v/>
      </c>
      <c r="D41" s="55">
        <f>IF(B41=0,"—",1-C41/B41)</f>
        <v/>
      </c>
    </row>
    <row r="42" ht="22" customHeight="1">
      <c r="A42" s="46" t="inlineStr">
        <is>
          <t>其中：扇出与重传</t>
        </is>
      </c>
      <c r="B42" s="53">
        <f>B26+B27</f>
        <v/>
      </c>
      <c r="C42" s="54">
        <f>B34+B35</f>
        <v/>
      </c>
      <c r="D42" s="55">
        <f>IF(B42=0,"—",1-C42/B42)</f>
        <v/>
      </c>
    </row>
    <row r="44" ht="30" customHeight="1">
      <c r="A44" s="27" t="inlineStr">
        <is>
          <t>注：本表是「同口径对比模型」，用于判断各项优化的量级与优先级，不是网络抓包实测值。落地时请用 E1 的真实计数替换 B 列输入。</t>
        </is>
      </c>
    </row>
  </sheetData>
  <mergeCells count="7">
    <mergeCell ref="A1:D1"/>
    <mergeCell ref="A17:D17"/>
    <mergeCell ref="A22:D22"/>
    <mergeCell ref="A3:D3"/>
    <mergeCell ref="A30:D30"/>
    <mergeCell ref="A38:D38"/>
    <mergeCell ref="A44:D44"/>
  </mergeCells>
  <printOptions horizontalCentered="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44" customWidth="1" min="4" max="4"/>
    <col width="34" customWidth="1" min="5" max="5"/>
    <col width="30" customWidth="1" min="6" max="6"/>
  </cols>
  <sheetData>
    <row r="1" ht="28" customHeight="1">
      <c r="A1" s="28" t="inlineStr">
        <is>
          <t>实施路线（建议按阶段推进，每阶段可独立交付与回滚）</t>
        </is>
      </c>
    </row>
    <row r="3" ht="24" customHeight="1">
      <c r="A3" s="56" t="inlineStr">
        <is>
          <t>阶段</t>
        </is>
      </c>
      <c r="B3" s="56" t="inlineStr">
        <is>
          <t>目标</t>
        </is>
      </c>
      <c r="C3" s="56" t="inlineStr">
        <is>
          <t>包含编号</t>
        </is>
      </c>
      <c r="D3" s="56" t="inlineStr">
        <is>
          <t>关键改动</t>
        </is>
      </c>
      <c r="E3" s="56" t="inlineStr">
        <is>
          <t>预期效果</t>
        </is>
      </c>
      <c r="F3" s="56" t="inlineStr">
        <is>
          <t>风险控制</t>
        </is>
      </c>
    </row>
    <row r="4" ht="60" customHeight="1">
      <c r="A4" s="57" t="inlineStr">
        <is>
          <t>一
1~2 周</t>
        </is>
      </c>
      <c r="B4" s="58" t="inlineStr">
        <is>
          <t>止血：止住掉线与上行暴涨</t>
        </is>
      </c>
      <c r="C4" s="59" t="inlineStr">
        <is>
          <t>E1 A2 D1 A1 C1</t>
        </is>
      </c>
      <c r="D4" s="60" t="inlineStr">
        <is>
          <t>先加度量（E1）；unchanged 后不再全量上报（A2）；自身写盘抑制本地 resync（D1）；inventory 改增量（A1）；断点续传（C1）。</t>
        </is>
      </c>
      <c r="E4" s="60" t="inlineStr">
        <is>
          <t>控制面上行 -99%；断线后可续传，重传字节趋近 0；可变开销先降 60% 以上。</t>
        </is>
      </c>
      <c r="F4" s="60" t="inlineStr">
        <is>
          <t>每项独立可回滚；C1 需要 TTL 清理，避免 tmp 文件堆积。</t>
        </is>
      </c>
    </row>
    <row r="5" ht="62" customHeight="1">
      <c r="A5" s="61" t="inlineStr">
        <is>
          <t>二
2~3 周</t>
        </is>
      </c>
      <c r="B5" s="58" t="inlineStr">
        <is>
          <t>控速：出口有预算、传输有背压</t>
        </is>
      </c>
      <c r="C5" s="59" t="inlineStr">
        <is>
          <t>B1 B2 B3 B4 C2 C5</t>
        </is>
      </c>
      <c r="D5" s="60" t="inlineStr">
        <is>
          <t>全局令牌桶（B1）+ ACK 窗口（B2）；切片与主线程投递改造（B3）；推送改变更通知（B4）；上传路径去重哈希（C2）；单文件上限（C5）。</t>
        </is>
      </c>
      <c r="E5" s="60" t="inlineStr">
        <is>
          <t>出口稳定可预测，突发消失；长传输不再拖垮全服；push 扇出从 GB 级降到字节级。</t>
        </is>
      </c>
      <c r="F5" s="60" t="inlineStr">
        <is>
          <t>B1/B2 要配套开关与默认值保守（先 512KB/s、4MB 窗口）；B4 需要 UI 提示，否则用户以为「没同步」。</t>
        </is>
      </c>
    </row>
    <row r="6" ht="60" customHeight="1">
      <c r="A6" s="62" t="inlineStr">
        <is>
          <t>三
2~3 周</t>
        </is>
      </c>
      <c r="B6" s="58" t="inlineStr">
        <is>
          <t>精修：把稳态开销压到接近 0</t>
        </is>
      </c>
      <c r="C6" s="59" t="inlineStr">
        <is>
          <t>A5 A3 A4 D2 B5 D3 D4</t>
        </is>
      </c>
      <c r="D6" s="60" t="inlineStr">
        <is>
          <t>单例清单构建器（A5）+ 分桶增量（A3）+ 二进制编码（A4）+ revision 驱动（D2）；请求去重（B5）；请求合并（D3）；控制面优先（D4）。</t>
        </is>
      </c>
      <c r="E6" s="60" t="inlineStr">
        <is>
          <t>单文件变更的清单从 170KB 降到 2~6KB；稳态 resync 接近 0 字节；编辑期卡顿消失。</t>
        </is>
      </c>
      <c r="F6" s="60" t="inlineStr">
        <is>
          <t>协议改动集中在这阶段，务必一次性 bump 版本并保留旧分支一个版本周期。</t>
        </is>
      </c>
    </row>
    <row r="7" ht="60" customHeight="1">
      <c r="A7" s="63" t="inlineStr">
        <is>
          <t>四
按需</t>
        </is>
      </c>
      <c r="B7" s="58" t="inlineStr">
        <is>
          <t>换道：资产彻底离开游戏连接</t>
        </is>
      </c>
      <c r="C7" s="59" t="inlineStr">
        <is>
          <t>F1（或 F2） C3 C4 B6 E2 E3</t>
        </is>
      </c>
      <c r="D7" s="60" t="inlineStr">
        <is>
          <t>HTTP/CDN 或独立资产通道；打包压缩；多播；自适应限速；断连归因提示。</t>
        </is>
      </c>
      <c r="E7" s="60" t="inlineStr">
        <is>
          <t>游戏连接上的资产字节归零，吞吐 3~10 倍，弱网下也不再掉线。</t>
        </is>
      </c>
      <c r="F7" s="60" t="inlineStr">
        <is>
          <t>需要运维配合（端口/反代/证书）；建议保留插件通道作为 NAT 场景的回退。</t>
        </is>
      </c>
    </row>
    <row r="9" ht="36" customHeight="1">
      <c r="A9" s="27" t="inlineStr">
        <is>
          <t>顺序理由：E1 先做，否则无法验证其它项；A2/D1/A1 都是「改几行就能省掉绝大部分上行」的高性价比项；B1/B2 是断连的结构性解药，但需要协议改动与压测，所以放第二阶段；A3/A4 的协议改动与前两项合并到同一个版本窗口更省事。</t>
        </is>
      </c>
    </row>
  </sheetData>
  <mergeCells count="2">
    <mergeCell ref="A1:F1"/>
    <mergeCell ref="A9:F9"/>
  </mergeCells>
  <printOptions horizontalCentered="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62" customWidth="1" min="3" max="3"/>
    <col width="40" customWidth="1" min="4" max="4"/>
  </cols>
  <sheetData>
    <row r="1" ht="28" customHeight="1">
      <c r="A1" s="28" t="inlineStr">
        <is>
          <t>风险、兼容与验收</t>
        </is>
      </c>
    </row>
    <row r="3" ht="22" customHeight="1">
      <c r="A3" s="56" t="inlineStr">
        <is>
          <t>#</t>
        </is>
      </c>
      <c r="B3" s="56" t="inlineStr">
        <is>
          <t>风险 / 约束</t>
        </is>
      </c>
      <c r="C3" s="56" t="inlineStr">
        <is>
          <t>说明</t>
        </is>
      </c>
      <c r="D3" s="56" t="inlineStr">
        <is>
          <t>应对</t>
        </is>
      </c>
    </row>
    <row r="4" ht="47.8" customHeight="1">
      <c r="A4" s="35" t="n">
        <v>1</v>
      </c>
      <c r="B4" s="33" t="inlineStr">
        <is>
          <t>协议兼容</t>
        </is>
      </c>
      <c r="C4" s="34" t="inlineStr">
        <is>
          <t>A3/A4/B2/C1 都会改包体。现有的 fingerprintVersion（S:680）只是清单内容的 64 位指纹，不是协议版本，不能当协商依据。</t>
        </is>
      </c>
      <c r="D4" s="34" t="inlineStr">
        <is>
          <t>新增独立 protocolVersion 字段并在 join 时协商；服务端保留一个版本的旧格式发送分支；客户端对未知字段容错跳过。</t>
        </is>
      </c>
    </row>
    <row r="5" ht="47.8" customHeight="1">
      <c r="A5" s="35" t="n">
        <v>2</v>
      </c>
      <c r="B5" s="33" t="inlineStr">
        <is>
          <t>配置兼容</t>
        </is>
      </c>
      <c r="C5" s="34" t="inlineStr">
        <is>
          <t>新增 asset_egress_kbps / ack 窗口 / 单文件上限等键；现有 asset_send_interval_ms、asset_upload_interval_ms 已进入用户配置（T:53-58）。</t>
        </is>
      </c>
      <c r="D5" s="34" t="inlineStr">
        <is>
          <t>新键给安全默认值；旧键保留语义作为「手动覆盖」，不删；读不到时回退内置默认。</t>
        </is>
      </c>
    </row>
    <row r="6" ht="47.8" customHeight="1">
      <c r="A6" s="35" t="n">
        <v>3</v>
      </c>
      <c r="B6" s="33" t="inlineStr">
        <is>
          <t>行为变化</t>
        </is>
      </c>
      <c r="C6" s="34" t="inlineStr">
        <is>
          <t>B4 把默认行为从「推送文件」改成「通知有新文件」，用户可能以为同步坏了。</t>
        </is>
      </c>
      <c r="D6" s="34" t="inlineStr">
        <is>
          <t>UI 明确显示「服务器有 N 个新资产可下载」并提供一键拉取；进度条沿用现有 assetSyncProgressBar。</t>
        </is>
      </c>
    </row>
    <row r="7" ht="35.2" customHeight="1">
      <c r="A7" s="35" t="n">
        <v>4</v>
      </c>
      <c r="B7" s="33" t="inlineStr">
        <is>
          <t>服务端资源</t>
        </is>
      </c>
      <c r="C7" s="34" t="inlineStr">
        <is>
          <t>A5 的清单缓存与 S:192 的 assetHashCache 都是只增不删的内存结构。</t>
        </is>
      </c>
      <c r="D7" s="34" t="inlineStr">
        <is>
          <t>两者都加上限（如 20000 条）并做 LRU 淘汰；清单缓存只保留当前版本一份。</t>
        </is>
      </c>
    </row>
    <row r="8" ht="47.8" customHeight="1">
      <c r="A8" s="35" t="n">
        <v>5</v>
      </c>
      <c r="B8" s="33" t="inlineStr">
        <is>
          <t>文件一致性</t>
        </is>
      </c>
      <c r="C8" s="34" t="inlineStr">
        <is>
          <t>C1 续传依赖 tmp 文件；若期间源文件被替换（sha1/mtime/size 变化），继续发会得到坏文件。</t>
        </is>
      </c>
      <c r="D8" s="34" t="inlineStr">
        <is>
          <t>以 (sha1, size) 作为传输会话 key；任何不匹配则丢弃 tmp、从 0 重来；终验用 sha1。</t>
        </is>
      </c>
    </row>
    <row r="9" ht="35.2" customHeight="1">
      <c r="A9" s="35" t="n">
        <v>6</v>
      </c>
      <c r="B9" s="33" t="inlineStr">
        <is>
          <t>安全性</t>
        </is>
      </c>
      <c r="C9" s="34" t="inlineStr">
        <is>
          <t>F1 若直接静态托管 assets 目录，会把所有资产公开；token 只在前端放请求头并不构成鉴权。</t>
        </is>
      </c>
      <c r="D9" s="34" t="inlineStr">
        <is>
          <t>默认只监听回环/内网，或要求 HMAC 签名 URL；清单里的 URL 带过期时间。</t>
        </is>
      </c>
    </row>
    <row r="10" ht="47.8" customHeight="1">
      <c r="A10" s="35" t="n">
        <v>7</v>
      </c>
      <c r="B10" s="33" t="inlineStr">
        <is>
          <t>回滚</t>
        </is>
      </c>
      <c r="C10" s="34" t="inlineStr">
        <is>
          <t>分阶段落地，每阶段都可能需要退回。</t>
        </is>
      </c>
      <c r="D10" s="34" t="inlineStr">
        <is>
          <t>每项用独立配置开关包裹（如 bandwidth_mode=legacy|budget|window）；出问题按开关回退，无需回滚版本。</t>
        </is>
      </c>
    </row>
    <row r="11" ht="85.59999999999999" customHeight="1">
      <c r="A11" s="35" t="n">
        <v>8</v>
      </c>
      <c r="B11" s="33" t="inlineStr">
        <is>
          <t>验收标准</t>
        </is>
      </c>
      <c r="C11" s="34" t="inlineStr">
        <is>
          <t>优化必须可被证伪。</t>
        </is>
      </c>
      <c r="D11" s="34" t="inlineStr">
        <is>
          <t>E1 的 diag 指标：①一次 unchanged resync 双向字节 &lt;200B；②传输期出口速率稳定在预算 ±20%；③断网 10s 后恢复只补发剩余字节；④4 人并发下载时 MSPT 增量 &lt;2ms；⑤push 一个 50MB 模型时其他玩家无超时。</t>
        </is>
      </c>
    </row>
  </sheetData>
  <mergeCells count="1">
    <mergeCell ref="A1:D1"/>
  </mergeCells>
  <printOptions horizontalCentered="1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/>
  </sheetPr>
  <dimension ref="A1:E9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42" customWidth="1" min="3" max="3"/>
    <col width="50" customWidth="1" min="4" max="4"/>
    <col width="30" customWidth="1" min="5" max="5"/>
  </cols>
  <sheetData>
    <row r="1" ht="30" customHeight="1">
      <c r="A1" s="66" t="inlineStr">
        <is>
          <t>现有同步设置审查 · 12 个可用键（6 开关 + 6 数值）+ 2 个死配置 能覆盖多少项优化，以及不改代码怎么调</t>
        </is>
      </c>
    </row>
    <row r="2" ht="44" customHeight="1">
      <c r="A2" s="67" t="inlineStr">
        <is>
          <t>位置缩写：T = src/main/java/mchorse/bbs_together/TogetherSettings.java；S = src/main/java/mchorse/bbs_together/network/TogetherServerNetwork.java；C = src/client/java/mchorse/bbs_together/network/TogetherClientNetwork.java；P = lib/bbs-fs-2.6-1.20.1/src/main/java/mchorse/bbs_mod/network/PacketCrusher.java；W = src/client/java/mchorse/bbs_together/sync/AssetAutoSyncWatcher.java；L = src/main/resources/assets/bbs_together/assets/strings/zh_cn.json。配置落盘：&lt;实例&gt;/config/bbs/settings/bbs_together.json（按 keyframes / server / coop / behaviors / cdn 五个分类嵌套）。代码基线 master @ 0cdfd63。</t>
        </is>
      </c>
    </row>
    <row r="4" ht="22" customHeight="1">
      <c r="A4" s="68" t="inlineStr">
        <is>
          <t>一、先说结论</t>
        </is>
      </c>
    </row>
    <row r="5" ht="30.4" customHeight="1">
      <c r="A5" s="69" t="inlineStr">
        <is>
          <t>① 项目里确实已经有成体系的同步设置：12 个真正生效的键（6 个开关 + 6 个数值）+ 2 个死配置。但它们只覆盖 25 项优化里的 4 项（B3 切片粒度、B4 推送扇出、C5 单文件上限、D1 自身写盘触发），另有 3 项（D2 退避、D3 合并、C4 传输单元）只能部分缓解，其余 18 项没有任何设置入口。</t>
        </is>
      </c>
    </row>
    <row r="6" ht="30.4" customHeight="1">
      <c r="A6" s="70" t="inlineStr">
        <is>
          <t>② 最关键的一条：真正决定「谁被挤下线」的服务端下行节奏，只有 2 个键——asset_send_interval_ms（默认 40）、asset_send_batch_kb（默认 512），组合起来是每个收件人 12.8 MB/s；10 个人同时拉资源就是 128 MB/s ≈ 1 Gbps，这条链路上任何一环都撑不住。</t>
        </is>
      </c>
    </row>
    <row r="7" ht="30.4" customHeight="1">
      <c r="A7" s="70" t="inlineStr">
        <is>
          <t>③ 这两个键在专用服上只认服务端自己的 bbs_together.json；客户端面板里改了不生效。而 L:30 的 tooltip 写的是「每个玩家独立设置自己客户端的资产下载大小上限与传输节奏」，与实现不符，属于会误导人的选项。</t>
        </is>
      </c>
    </row>
    <row r="8" ht="30.4" customHeight="1">
      <c r="A8" s="71" t="inlineStr">
        <is>
          <t>④ 不改代码能做的最有效一步：服务端 bbs_together.json 把 40/512 改成 200/128（每人 0.64 MB/s，10 人 51 Mbps），单次 100 MB 模型从 8 秒变成约 2 分 36 秒——慢，但不会被踢。要更快，只能改代码（见第四节）。</t>
        </is>
      </c>
    </row>
    <row r="10" ht="22" customHeight="1">
      <c r="A10" s="68" t="inlineStr">
        <is>
          <t>二、现有设置项清单（键名 · 默认与范围 · 生效侧与读取点 · 评价 · 对应优化项）</t>
        </is>
      </c>
    </row>
    <row r="11" ht="26" customHeight="1">
      <c r="A11" s="72" t="inlineStr">
        <is>
          <t>键名</t>
        </is>
      </c>
      <c r="B11" s="72" t="inlineStr">
        <is>
          <t>默认值 · 范围/档位</t>
        </is>
      </c>
      <c r="C11" s="72" t="inlineStr">
        <is>
          <t>生效侧 · 读取点</t>
        </is>
      </c>
      <c r="D11" s="72" t="inlineStr">
        <is>
          <t>评价（真实行为 / 容易踩的坑）</t>
        </is>
      </c>
      <c r="E11" s="72" t="inlineStr">
        <is>
          <t>对应项</t>
        </is>
      </c>
    </row>
    <row r="12" ht="30.4" customHeight="1">
      <c r="A12" s="73" t="inlineStr">
        <is>
          <t>cdn.url</t>
        </is>
      </c>
      <c r="B12" s="74" t="inlineStr">
        <is>
          <t>空字符串 · 无范围</t>
        </is>
      </c>
      <c r="C12" s="74" t="inlineStr">
        <is>
          <t>无任何读取点（T:41 注册后全项目未读取）· 配置界面「资源同步」可见</t>
        </is>
      </c>
      <c r="D12" s="74" t="inlineStr">
        <is>
          <t>死配置。填了也不会走 CDN，却让人以为已经优化过——F1 至今是空壳。</t>
        </is>
      </c>
      <c r="E12" s="75" t="inlineStr">
        <is>
          <t>F1</t>
        </is>
      </c>
    </row>
    <row r="13" ht="19" customHeight="1">
      <c r="A13" s="76" t="inlineStr">
        <is>
          <t>cdn.token</t>
        </is>
      </c>
      <c r="B13" s="77" t="inlineStr">
        <is>
          <t>空字符串 · 无范围</t>
        </is>
      </c>
      <c r="C13" s="77" t="inlineStr">
        <is>
          <t>无任何读取点（T:42）· 配置界面可见</t>
        </is>
      </c>
      <c r="D13" s="77" t="inlineStr">
        <is>
          <t>同上，纯摆设。</t>
        </is>
      </c>
      <c r="E13" s="78" t="inlineStr">
        <is>
          <t>F1</t>
        </is>
      </c>
    </row>
    <row r="14" ht="43.59999999999999" customHeight="1">
      <c r="A14" s="73" t="inlineStr">
        <is>
          <t>asset_sync_download</t>
        </is>
      </c>
      <c r="B14" s="74" t="inlineStr">
        <is>
          <t>true · 开/关</t>
        </is>
      </c>
      <c r="C14" s="74" t="inlineStr">
        <is>
          <t>仅客户端 C:646（清单差分）、C:1002（拒收非推送文件）· 游戏内工具面板 UIToggle + 配置</t>
        </is>
      </c>
      <c r="D14" s="74" t="inlineStr">
        <is>
          <t>关掉即完全停止下载，是最粗暴的止血阀；代价是本地与服务器长期不一致、模型显示缺失。</t>
        </is>
      </c>
      <c r="E14" s="75" t="inlineStr">
        <is>
          <t>A1 / D1</t>
        </is>
      </c>
    </row>
    <row r="15" ht="30.4" customHeight="1">
      <c r="A15" s="76" t="inlineStr">
        <is>
          <t>asset_sync_upload</t>
        </is>
      </c>
      <c r="B15" s="77" t="inlineStr">
        <is>
          <t>true · 开/关</t>
        </is>
      </c>
      <c r="C15" s="77" t="inlineStr">
        <is>
          <t>仅客户端 C:647、C:927 · 面板 UIToggle</t>
        </is>
      </c>
      <c r="D15" s="77" t="inlineStr">
        <is>
          <t>关掉即完全不上传；与 download=false 组合等于「只玩本地」。</t>
        </is>
      </c>
      <c r="E15" s="78" t="inlineStr">
        <is>
          <t>A1</t>
        </is>
      </c>
    </row>
    <row r="16" ht="43.59999999999999" customHeight="1">
      <c r="A16" s="73" t="inlineStr">
        <is>
          <t>asset_sync_receive</t>
        </is>
      </c>
      <c r="B16" s="74" t="inlineStr">
        <is>
          <t>false · 开/关</t>
        </is>
      </c>
      <c r="C16" s="74" t="inlineStr">
        <is>
          <t>客户端 C:999 决定收不收 → C:1367 上报给服务端 → S:1050 存 playerReceivePush → S:859 决定是否扇出 · 面板 UIToggle</t>
        </is>
      </c>
      <c r="D16" s="74" t="inlineStr">
        <is>
          <t>默认 false，等于服务端 push 扇出默认关闭（好消息）。但 S:859 判断是 pref != null &amp;&amp; !pref：客户端首次上报之前，服务端仍会推。</t>
        </is>
      </c>
      <c r="E16" s="75" t="inlineStr">
        <is>
          <t>B4</t>
        </is>
      </c>
    </row>
    <row r="17" ht="30.4" customHeight="1">
      <c r="A17" s="76" t="inlineStr">
        <is>
          <t>asset_sync_progress_bar</t>
        </is>
      </c>
      <c r="B17" s="77" t="inlineStr">
        <is>
          <t>true · 开/关</t>
        </is>
      </c>
      <c r="C17" s="77" t="inlineStr">
        <is>
          <t>仅客户端 SyncBarRenderer:28 · 面板 UIToggle</t>
        </is>
      </c>
      <c r="D17" s="77" t="inlineStr">
        <is>
          <t>纯显示，与带宽无关。</t>
        </is>
      </c>
      <c r="E17" s="78" t="inlineStr">
        <is>
          <t>E1</t>
        </is>
      </c>
    </row>
    <row r="18" ht="43.59999999999999" customHeight="1">
      <c r="A18" s="73" t="inlineStr">
        <is>
          <t>asset_sync_progress_bar_always</t>
        </is>
      </c>
      <c r="B18" s="74" t="inlineStr">
        <is>
          <t>false · 开/关</t>
        </is>
      </c>
      <c r="C18" s="74" t="inlineStr">
        <is>
          <t>仅客户端 SyncBarRenderer:30 · 面板 UIToggle</t>
        </is>
      </c>
      <c r="D18" s="74" t="inlineStr">
        <is>
          <t>纯显示，与带宽无关。</t>
        </is>
      </c>
      <c r="E18" s="75" t="inlineStr">
        <is>
          <t>E1</t>
        </is>
      </c>
    </row>
    <row r="19" ht="43.59999999999999" customHeight="1">
      <c r="A19" s="76" t="inlineStr">
        <is>
          <t>asset_max_size_mb</t>
        </is>
      </c>
      <c r="B19" s="77" t="inlineStr">
        <is>
          <t>1024 · 16–2048（档位 16/128/512/1024/2048）</t>
        </is>
      </c>
      <c r="C19" s="77" t="inlineStr">
        <is>
          <t>仅客户端 C:1245：超过则只建文件夹 + config.json 占位、列表标红「模型过大」· 配置「同步设置」</t>
        </is>
      </c>
      <c r="D19" s="77" t="inlineStr">
        <is>
          <t>只管下载；L:32 注释自承「上传不受此限制」。服务端另有 2048 MB 硬上限，写死在 S:88-90 不可配。</t>
        </is>
      </c>
      <c r="E19" s="78" t="inlineStr">
        <is>
          <t>C4 / C5</t>
        </is>
      </c>
    </row>
    <row r="20" ht="43.59999999999999" customHeight="1">
      <c r="A20" s="73" t="inlineStr">
        <is>
          <t>asset_auto_sync</t>
        </is>
      </c>
      <c r="B20" s="74" t="inlineStr">
        <is>
          <t>false · 开/关</t>
        </is>
      </c>
      <c r="C20" s="74" t="inlineStr">
        <is>
          <t>客户端 C:898 决定是否自动；模型右键菜单 ModelDeleteActions:97-105 也会改它</t>
        </is>
      </c>
      <c r="D20" s="74" t="inlineStr">
        <is>
          <t>默认关，所以默认不会自动 resync。一旦开启：W 只忽略 .bbspart/.bbsup，最终 move 到目标文件名会触发监听 → 下载→清单→差分的放大环。</t>
        </is>
      </c>
      <c r="E20" s="75" t="inlineStr">
        <is>
          <t>D1 / D2</t>
        </is>
      </c>
    </row>
    <row r="21" ht="43.59999999999999" customHeight="1">
      <c r="A21" s="76" t="inlineStr">
        <is>
          <t>asset_auto_sync_cooldown_sec</t>
        </is>
      </c>
      <c r="B21" s="77" t="inlineStr">
        <is>
          <t>20 · 5–300</t>
        </is>
      </c>
      <c r="C21" s="77" t="inlineStr">
        <is>
          <t>客户端 C:907 · 配置「同步设置」</t>
        </is>
      </c>
      <c r="D21" s="77" t="inlineStr">
        <is>
          <t>固定冷却，不是指数退避；在放大环里 20 秒偏短，建议 ≥120。</t>
        </is>
      </c>
      <c r="E21" s="78" t="inlineStr">
        <is>
          <t>D2 / D3</t>
        </is>
      </c>
    </row>
    <row r="22" ht="43.59999999999999" customHeight="1">
      <c r="A22" s="73" t="inlineStr">
        <is>
          <t>asset_send_interval_ms</t>
        </is>
      </c>
      <c r="B22" s="74" t="inlineStr">
        <is>
          <t>40 · 0–10000</t>
        </is>
      </c>
      <c r="C22" s="74" t="inlineStr">
        <is>
          <t>仅服务端 S:243（sendIntervalMs）· 配置「同步设置」（客户端界面里也有，但专用服上无效）</t>
        </is>
      </c>
      <c r="D22" s="74" t="inlineStr">
        <is>
          <t>与下一条组合 = 每人 12.8 MB/s ≈ 102 Mbps。L:30 的 tooltip 说这是「每个玩家独立设置自己客户端的节奏」，与实现（服务端全局）不符。</t>
        </is>
      </c>
      <c r="E22" s="75" t="inlineStr">
        <is>
          <t>B1 / B2 / B3</t>
        </is>
      </c>
    </row>
    <row r="23" ht="43.59999999999999" customHeight="1">
      <c r="A23" s="76" t="inlineStr">
        <is>
          <t>asset_send_batch_kb</t>
        </is>
      </c>
      <c r="B23" s="77" t="inlineStr">
        <is>
          <t>512 · 30–8192（下限强制 30720 字节，S:251）</t>
        </is>
      </c>
      <c r="C23" s="77" t="inlineStr">
        <is>
          <t>仅服务端 S:251（sendBatchBytes）</t>
        </is>
      </c>
      <c r="D23" s="77" t="inlineStr">
        <is>
          <t>只决定「每 N 包 sleep 一次」；单包仍是 30 KB（P:BUFFER_SIZE = 30_000），光调 batch 不能减小单包突发。</t>
        </is>
      </c>
      <c r="E23" s="78" t="inlineStr">
        <is>
          <t>B3</t>
        </is>
      </c>
    </row>
    <row r="24" ht="43.59999999999999" customHeight="1">
      <c r="A24" s="73" t="inlineStr">
        <is>
          <t>asset_upload_interval_ms</t>
        </is>
      </c>
      <c r="B24" s="74" t="inlineStr">
        <is>
          <t>200 · 0–10000</t>
        </is>
      </c>
      <c r="C24" s="74" t="inlineStr">
        <is>
          <t>仅客户端 C:1274；文件内切片间隔被硬截断在 C:1326 Math.min(interval, 50L)</t>
        </is>
      </c>
      <c r="D24" s="74" t="inlineStr">
        <is>
          <t>名义是「文件之间等待」，实际文件内部每片最多等 50 ms ⇒ 上传速率下限约 30 KB / 50 ms = 0.6 MB/s，调不到更低。</t>
        </is>
      </c>
      <c r="E24" s="75" t="inlineStr">
        <is>
          <t>B2</t>
        </is>
      </c>
    </row>
    <row r="25" ht="30.4" customHeight="1">
      <c r="A25" s="76" t="inlineStr">
        <is>
          <t>asset_upload_batch_kb</t>
        </is>
      </c>
      <c r="B25" s="77" t="inlineStr">
        <is>
          <t>512 · 30–8192</t>
        </is>
      </c>
      <c r="C25" s="77" t="inlineStr">
        <is>
          <t>仅客户端 C:1283（uploadBatchBytes）</t>
        </is>
      </c>
      <c r="D25" s="77" t="inlineStr">
        <is>
          <t>实际 512 KB / 50 ms ≈ 10 MB/s 上传突发，比默认下载还猛——这是「上传把人挤下线」最直接的旋钮。</t>
        </is>
      </c>
      <c r="E25" s="78" t="inlineStr">
        <is>
          <t>B3</t>
        </is>
      </c>
    </row>
    <row r="27" ht="40" customHeight="1">
      <c r="A27" s="67" t="inlineStr">
        <is>
          <t>⚠ 当前工程自带的配置（run/config/bbs/settings/bbs_together.json）正好是最坏组合：cdn.receive=true（收全部推送）、server.auto_sync=true（自触发 resync）、asset_send_interval_ms=40 + asset_send_batch_kb=512（12.8 MB/s/人）、progress_bar_always=true。本地开发时跑的正是这套，难怪容易断。</t>
        </is>
      </c>
    </row>
    <row r="29" ht="22" customHeight="1">
      <c r="A29" s="68" t="inlineStr">
        <is>
          <t>三、25 项优化 × 现有设置覆盖度（能覆盖 / 只能缓解 / 无入口）</t>
        </is>
      </c>
    </row>
    <row r="30" ht="26" customHeight="1">
      <c r="A30" s="72" t="inlineStr">
        <is>
          <t>编号</t>
        </is>
      </c>
      <c r="B30" s="72" t="inlineStr">
        <is>
          <t>优化项</t>
        </is>
      </c>
      <c r="C30" s="72" t="inlineStr">
        <is>
          <t>现有设置能否覆盖</t>
        </is>
      </c>
      <c r="D30" s="72" t="inlineStr">
        <is>
          <t>依据与说明</t>
        </is>
      </c>
      <c r="E30" s="72" t="inlineStr">
        <is>
          <t>结论</t>
        </is>
      </c>
    </row>
    <row r="31" ht="30.4" customHeight="1">
      <c r="A31" s="79" t="inlineStr">
        <is>
          <t>A1</t>
        </is>
      </c>
      <c r="B31" s="80" t="inlineStr">
        <is>
          <t>全量 inventory 上报改增量上报</t>
        </is>
      </c>
      <c r="C31" s="80" t="inlineStr">
        <is>
          <t>不能（只能用 asset_sync_upload=false 整体关掉）</t>
        </is>
      </c>
      <c r="D31" s="80" t="inlineStr">
        <is>
          <t>清单往返时 C 必发全量 {path: sha1}，协议里没有增量语义</t>
        </is>
      </c>
      <c r="E31" s="81" t="inlineStr">
        <is>
          <t>需改代码</t>
        </is>
      </c>
    </row>
    <row r="32" ht="30.4" customHeight="1">
      <c r="A32" s="79" t="inlineStr">
        <is>
          <t>A2</t>
        </is>
      </c>
      <c r="B32" s="80" t="inlineStr">
        <is>
          <t>unchanged 快路径收到后不应再回全量上报</t>
        </is>
      </c>
      <c r="C32" s="80" t="inlineStr">
        <is>
          <t>不能</t>
        </is>
      </c>
      <c r="D32" s="80" t="inlineStr">
        <is>
          <t>reuseCache 只省了下载，上报照发</t>
        </is>
      </c>
      <c r="E32" s="81" t="inlineStr">
        <is>
          <t>需改代码</t>
        </is>
      </c>
    </row>
    <row r="33" ht="19" customHeight="1">
      <c r="A33" s="79" t="inlineStr">
        <is>
          <t>A3</t>
        </is>
      </c>
      <c r="B33" s="80" t="inlineStr">
        <is>
          <t>变更时全量清单 → 分桶增量清单</t>
        </is>
      </c>
      <c r="C33" s="80" t="inlineStr">
        <is>
          <t>不能</t>
        </is>
      </c>
      <c r="D33" s="80" t="inlineStr">
        <is>
          <t>S sendAssetManifest 每次都整树重发</t>
        </is>
      </c>
      <c r="E33" s="81" t="inlineStr">
        <is>
          <t>需改代码</t>
        </is>
      </c>
    </row>
    <row r="34" ht="30.4" customHeight="1">
      <c r="A34" s="79" t="inlineStr">
        <is>
          <t>A4</t>
        </is>
      </c>
      <c r="B34" s="80" t="inlineStr">
        <is>
          <t>清单改用二进制编码（路径池 + sha1 + varint）</t>
        </is>
      </c>
      <c r="C34" s="80" t="inlineStr">
        <is>
          <t>不能</t>
        </is>
      </c>
      <c r="D34" s="80" t="inlineStr">
        <is>
          <t>清单是明文行 sha1:size:mtime</t>
        </is>
      </c>
      <c r="E34" s="81" t="inlineStr">
        <is>
          <t>需改代码</t>
        </is>
      </c>
    </row>
    <row r="35" ht="30.4" customHeight="1">
      <c r="A35" s="79" t="inlineStr">
        <is>
          <t>A5</t>
        </is>
      </c>
      <c r="B35" s="80" t="inlineStr">
        <is>
          <t>清单「一请求一线程」改单例构建器</t>
        </is>
      </c>
      <c r="C35" s="80" t="inlineStr">
        <is>
          <t>不能</t>
        </is>
      </c>
      <c r="D35" s="80" t="inlineStr">
        <is>
          <t>每个客户端各起线程各算一遍</t>
        </is>
      </c>
      <c r="E35" s="81" t="inlineStr">
        <is>
          <t>需改代码</t>
        </is>
      </c>
    </row>
    <row r="36" ht="30.4" customHeight="1">
      <c r="A36" s="76" t="inlineStr">
        <is>
          <t>B1</t>
        </is>
      </c>
      <c r="B36" s="77" t="inlineStr">
        <is>
          <t>全局出口带宽预算（令牌桶）+ 公平分配</t>
        </is>
      </c>
      <c r="C36" s="77" t="inlineStr">
        <is>
          <t>只能手算近似：按 N × batch/interval 推算后改 asset_send_*</t>
        </is>
      </c>
      <c r="D36" s="77" t="inlineStr">
        <is>
          <t>没有全局概念，只有「每个收件人」速率；人一多就线性叠加</t>
        </is>
      </c>
      <c r="E36" s="78" t="inlineStr">
        <is>
          <t>需改代码（设置层可先降速）</t>
        </is>
      </c>
    </row>
    <row r="37" ht="30.4" customHeight="1">
      <c r="A37" s="79" t="inlineStr">
        <is>
          <t>B2</t>
        </is>
      </c>
      <c r="B37" s="80" t="inlineStr">
        <is>
          <t>固定 sleep → ACK 窗口流控 + 自适应速率</t>
        </is>
      </c>
      <c r="C37" s="80" t="inlineStr">
        <is>
          <t>不能</t>
        </is>
      </c>
      <c r="D37" s="80" t="inlineStr">
        <is>
          <t>S sendTaskInBatches 就是每片 sleep 固定毫秒</t>
        </is>
      </c>
      <c r="E37" s="81" t="inlineStr">
        <is>
          <t>需改代码</t>
        </is>
      </c>
    </row>
    <row r="38" ht="30.4" customHeight="1">
      <c r="A38" s="82" t="inlineStr">
        <is>
          <t>B3</t>
        </is>
      </c>
      <c r="B38" s="83" t="inlineStr">
        <is>
          <t>切片粒度与主线程任务投递方式</t>
        </is>
      </c>
      <c r="C38" s="83" t="inlineStr">
        <is>
          <t>部分可以：asset_send_batch_kb / asset_upload_batch_kb</t>
        </is>
      </c>
      <c r="D38" s="83" t="inlineStr">
        <is>
          <t>单包 30 KB 由 P:BUFFER_SIZE 写死，batch 只调「几个包一停」</t>
        </is>
      </c>
      <c r="E38" s="84" t="inlineStr">
        <is>
          <t>设置层可调</t>
        </is>
      </c>
    </row>
    <row r="39" ht="30.4" customHeight="1">
      <c r="A39" s="82" t="inlineStr">
        <is>
          <t>B4</t>
        </is>
      </c>
      <c r="B39" s="83" t="inlineStr">
        <is>
          <t>服务端 push 扇出 → 变更通知 + 客户端拉取</t>
        </is>
      </c>
      <c r="C39" s="83" t="inlineStr">
        <is>
          <t>部分可以：asset_sync_receive=false（默认）已能让服务端不推</t>
        </is>
      </c>
      <c r="D39" s="83" t="inlineStr">
        <is>
          <t>但开关在客户端、靠上报生效（S:859 对 null 放行），语义应该是服务端配置</t>
        </is>
      </c>
      <c r="E39" s="84" t="inlineStr">
        <is>
          <t>设置层可关</t>
        </is>
      </c>
    </row>
    <row r="40" ht="30.4" customHeight="1">
      <c r="A40" s="79" t="inlineStr">
        <is>
          <t>B5</t>
        </is>
      </c>
      <c r="B40" s="80" t="inlineStr">
        <is>
          <t>重复请求去重 + 跨客户端共享读取</t>
        </is>
      </c>
      <c r="C40" s="80" t="inlineStr">
        <is>
          <t>不能</t>
        </is>
      </c>
      <c r="D40" s="80" t="inlineStr">
        <is>
          <t>每玩家各自 enqueue、各自读盘</t>
        </is>
      </c>
      <c r="E40" s="81" t="inlineStr">
        <is>
          <t>需改代码</t>
        </is>
      </c>
    </row>
    <row r="41" ht="19" customHeight="1">
      <c r="A41" s="79" t="inlineStr">
        <is>
          <t>B6</t>
        </is>
      </c>
      <c r="B41" s="80" t="inlineStr">
        <is>
          <t>一对多同发（多播编码）</t>
        </is>
      </c>
      <c r="C41" s="80" t="inlineStr">
        <is>
          <t>不能</t>
        </is>
      </c>
      <c r="D41" s="80" t="inlineStr">
        <is>
          <t>逐人 enqueue 逐人编码</t>
        </is>
      </c>
      <c r="E41" s="81" t="inlineStr">
        <is>
          <t>需改代码</t>
        </is>
      </c>
    </row>
    <row r="42" ht="19" customHeight="1">
      <c r="A42" s="79" t="inlineStr">
        <is>
          <t>C1</t>
        </is>
      </c>
      <c r="B42" s="80" t="inlineStr">
        <is>
          <t>断点续传（offset / Range）</t>
        </is>
      </c>
      <c r="C42" s="80" t="inlineStr">
        <is>
          <t>不能</t>
        </is>
      </c>
      <c r="D42" s="80" t="inlineStr">
        <is>
          <t>每次整文件重发，.bbspart 只是本地临时文件</t>
        </is>
      </c>
      <c r="E42" s="81" t="inlineStr">
        <is>
          <t>需改代码</t>
        </is>
      </c>
    </row>
    <row r="43" ht="30.4" customHeight="1">
      <c r="A43" s="79" t="inlineStr">
        <is>
          <t>C2</t>
        </is>
      </c>
      <c r="B43" s="80" t="inlineStr">
        <is>
          <t>上传/下载路径的重复整文件哈希与复制</t>
        </is>
      </c>
      <c r="C43" s="80" t="inlineStr">
        <is>
          <t>不能</t>
        </is>
      </c>
      <c r="D43" s="80" t="inlineStr">
        <is>
          <t>清单每次仍要按 mtime+size 缓存回读文件算 SHA-1</t>
        </is>
      </c>
      <c r="E43" s="81" t="inlineStr">
        <is>
          <t>需改代码</t>
        </is>
      </c>
    </row>
    <row r="44" ht="30.4" customHeight="1">
      <c r="A44" s="79" t="inlineStr">
        <is>
          <t>C3</t>
        </is>
      </c>
      <c r="B44" s="80" t="inlineStr">
        <is>
          <t>按类型分策略压缩（媒体不压、文本整体压）</t>
        </is>
      </c>
      <c r="C44" s="80" t="inlineStr">
        <is>
          <t>不能</t>
        </is>
      </c>
      <c r="D44" s="80" t="inlineStr">
        <is>
          <t>只有 Minecraft 自带的连接级 zlib（阈值压缩）</t>
        </is>
      </c>
      <c r="E44" s="81" t="inlineStr">
        <is>
          <t>需改代码</t>
        </is>
      </c>
    </row>
    <row r="45" ht="19" customHeight="1">
      <c r="A45" s="73" t="inlineStr">
        <is>
          <t>C4</t>
        </is>
      </c>
      <c r="B45" s="74" t="inlineStr">
        <is>
          <t>以「模型根目录」为传输单元</t>
        </is>
      </c>
      <c r="C45" s="74" t="inlineStr">
        <is>
          <t>只能判大小：asset_max_size_mb</t>
        </is>
      </c>
      <c r="D45" s="74" t="inlineStr">
        <is>
          <t>超限就整个模型不下、只占位；传输单元仍是单文件</t>
        </is>
      </c>
      <c r="E45" s="75" t="inlineStr">
        <is>
          <t>需改代码</t>
        </is>
      </c>
    </row>
    <row r="46" ht="30.4" customHeight="1">
      <c r="A46" s="85" t="inlineStr">
        <is>
          <t>C5</t>
        </is>
      </c>
      <c r="B46" s="86" t="inlineStr">
        <is>
          <t>单文件上限与溢出策略</t>
        </is>
      </c>
      <c r="C46" s="86" t="inlineStr">
        <is>
          <t>部分：asset_max_size_mb（客户端，仅下载）</t>
        </is>
      </c>
      <c r="D46" s="86" t="inlineStr">
        <is>
          <t>上传侧无任何上限；服务端 2048 MB 硬编码</t>
        </is>
      </c>
      <c r="E46" s="87" t="inlineStr">
        <is>
          <t>设置层可调 + 需改代码</t>
        </is>
      </c>
    </row>
    <row r="47" ht="30.4" customHeight="1">
      <c r="A47" s="82" t="inlineStr">
        <is>
          <t>D1</t>
        </is>
      </c>
      <c r="B47" s="83" t="inlineStr">
        <is>
          <t>自身写盘不应触发本地 resync</t>
        </is>
      </c>
      <c r="C47" s="83" t="inlineStr">
        <is>
          <t>可以：asset_auto_sync=false（默认即关）</t>
        </is>
      </c>
      <c r="D47" s="83" t="inlineStr">
        <is>
          <t>W 只忽略 .bbspart/.bbsup，最终 move 到目标名仍触发；关掉自动同步即无此环</t>
        </is>
      </c>
      <c r="E47" s="84" t="inlineStr">
        <is>
          <t>设置层可关</t>
        </is>
      </c>
    </row>
    <row r="48" ht="30.4" customHeight="1">
      <c r="A48" s="85" t="inlineStr">
        <is>
          <t>D2</t>
        </is>
      </c>
      <c r="B48" s="86" t="inlineStr">
        <is>
          <t>自动同步改 revision 驱动 + 指数退避</t>
        </is>
      </c>
      <c r="C48" s="86" t="inlineStr">
        <is>
          <t>部分：asset_auto_sync_cooldown_sec（5–300）</t>
        </is>
      </c>
      <c r="D48" s="86" t="inlineStr">
        <is>
          <t>固定冷却，非指数退避</t>
        </is>
      </c>
      <c r="E48" s="87" t="inlineStr">
        <is>
          <t>设置层可加大</t>
        </is>
      </c>
    </row>
    <row r="49" ht="30.4" customHeight="1">
      <c r="A49" s="85" t="inlineStr">
        <is>
          <t>D3</t>
        </is>
      </c>
      <c r="B49" s="86" t="inlineStr">
        <is>
          <t>多人 resync 请求合并</t>
        </is>
      </c>
      <c r="C49" s="86" t="inlineStr">
        <is>
          <t>部分：cooldown + scheduleAutoSync 合并 in-flight</t>
        </is>
      </c>
      <c r="D49" s="86" t="inlineStr">
        <is>
          <t>服务端侧不合并，每个客户端各构建一次清单</t>
        </is>
      </c>
      <c r="E49" s="87" t="inlineStr">
        <is>
          <t>需改代码</t>
        </is>
      </c>
    </row>
    <row r="50" ht="30.4" customHeight="1">
      <c r="A50" s="79" t="inlineStr">
        <is>
          <t>D4</t>
        </is>
      </c>
      <c r="B50" s="80" t="inlineStr">
        <is>
          <t>控制面优先、资产让路（抢占与 tick 预算）</t>
        </is>
      </c>
      <c r="C50" s="80" t="inlineStr">
        <is>
          <t>不能</t>
        </is>
      </c>
      <c r="D50" s="80" t="inlineStr">
        <is>
          <t>资产包与编辑包同一连接同一发送线程</t>
        </is>
      </c>
      <c r="E50" s="81" t="inlineStr">
        <is>
          <t>需改代码</t>
        </is>
      </c>
    </row>
    <row r="51" ht="19" customHeight="1">
      <c r="A51" s="79" t="inlineStr">
        <is>
          <t>E1</t>
        </is>
      </c>
      <c r="B51" s="80" t="inlineStr">
        <is>
          <t>带宽/吞吐指标与诊断命令</t>
        </is>
      </c>
      <c r="C51" s="80" t="inlineStr">
        <is>
          <t>不能，只有进度条（SyncBarRenderer）</t>
        </is>
      </c>
      <c r="D51" s="80" t="inlineStr">
        <is>
          <t>没有任何速率/队列深度可视化</t>
        </is>
      </c>
      <c r="E51" s="81" t="inlineStr">
        <is>
          <t>需改代码</t>
        </is>
      </c>
    </row>
    <row r="52" ht="19" customHeight="1">
      <c r="A52" s="79" t="inlineStr">
        <is>
          <t>E2</t>
        </is>
      </c>
      <c r="B52" s="80" t="inlineStr">
        <is>
          <t>自适应限速（AIMD）</t>
        </is>
      </c>
      <c r="C52" s="80" t="inlineStr">
        <is>
          <t>不能，只能静态填 asset_send_interval_ms</t>
        </is>
      </c>
      <c r="D52" s="80" t="inlineStr">
        <is>
          <t>没有观测就没有自适应</t>
        </is>
      </c>
      <c r="E52" s="81" t="inlineStr">
        <is>
          <t>需改代码</t>
        </is>
      </c>
    </row>
    <row r="53" ht="19" customHeight="1">
      <c r="A53" s="79" t="inlineStr">
        <is>
          <t>E3</t>
        </is>
      </c>
      <c r="B53" s="80" t="inlineStr">
        <is>
          <t>断连归因提示</t>
        </is>
      </c>
      <c r="C53" s="80" t="inlineStr">
        <is>
          <t>不能</t>
        </is>
      </c>
      <c r="D53" s="80" t="inlineStr">
        <is>
          <t>被踢后没有「是资产同步导致」的提示</t>
        </is>
      </c>
      <c r="E53" s="81" t="inlineStr">
        <is>
          <t>需改代码</t>
        </is>
      </c>
    </row>
    <row r="54" ht="19" customHeight="1">
      <c r="A54" s="76" t="inlineStr">
        <is>
          <t>F1</t>
        </is>
      </c>
      <c r="B54" s="77" t="inlineStr">
        <is>
          <t>资产走独立 HTTP(S)/CDN 通道</t>
        </is>
      </c>
      <c r="C54" s="77" t="inlineStr">
        <is>
          <t>只有空壳：cdn.url / cdn.token（死配置）</t>
        </is>
      </c>
      <c r="D54" s="77" t="inlineStr">
        <is>
          <t>T:41-42 注册后无读取点</t>
        </is>
      </c>
      <c r="E54" s="78" t="inlineStr">
        <is>
          <t>需改代码（架构级）</t>
        </is>
      </c>
    </row>
    <row r="55" ht="30.4" customHeight="1">
      <c r="A55" s="79" t="inlineStr">
        <is>
          <t>F2</t>
        </is>
      </c>
      <c r="B55" s="80" t="inlineStr">
        <is>
          <t>独立「资产通道」连接（不依赖 CDN）</t>
        </is>
      </c>
      <c r="C55" s="80" t="inlineStr">
        <is>
          <t>不能</t>
        </is>
      </c>
      <c r="D55" s="80" t="inlineStr">
        <is>
          <t>无任何实现</t>
        </is>
      </c>
      <c r="E55" s="81" t="inlineStr">
        <is>
          <t>需改代码</t>
        </is>
      </c>
    </row>
    <row r="56" ht="30.4" customHeight="1">
      <c r="A56" s="76" t="inlineStr">
        <is>
          <t>X1</t>
        </is>
      </c>
      <c r="B56" s="77" t="inlineStr">
        <is>
          <t>必须传的字节（不要试图「优化」掉）</t>
        </is>
      </c>
      <c r="C56" s="77" t="inlineStr">
        <is>
          <t>与设置无关</t>
        </is>
      </c>
      <c r="D56" s="77" t="inlineStr">
        <is>
          <t>边界说明：首次全量下载的字节数本身是下限</t>
        </is>
      </c>
      <c r="E56" s="78" t="inlineStr">
        <is>
          <t>—</t>
        </is>
      </c>
    </row>
    <row r="58" ht="22" customHeight="1">
      <c r="A58" s="68" t="inlineStr">
        <is>
          <t>四、不改代码 · 服务端调参预设（写进 &lt;服务器&gt;/config/bbs/settings/bbs_together.json）</t>
        </is>
      </c>
    </row>
    <row r="59" ht="26" customHeight="1">
      <c r="A59" s="72" t="inlineStr">
        <is>
          <t>预设</t>
        </is>
      </c>
      <c r="B59" s="72" t="inlineStr">
        <is>
          <t>server 段 JSON</t>
        </is>
      </c>
      <c r="C59" s="72" t="inlineStr">
        <is>
          <t>单客户端下行</t>
        </is>
      </c>
      <c r="D59" s="72" t="inlineStr">
        <is>
          <t>换算与耗时（100 MB 模型）</t>
        </is>
      </c>
      <c r="E59" s="72" t="inlineStr">
        <is>
          <t>适用场景</t>
        </is>
      </c>
    </row>
    <row r="60" ht="30.4" customHeight="1">
      <c r="A60" s="85" t="inlineStr">
        <is>
          <t>P0 现状（默认）</t>
        </is>
      </c>
      <c r="B60" s="86" t="inlineStr">
        <is>
          <t>{"asset_send_interval_ms":40,"asset_send_batch_kb":512}</t>
        </is>
      </c>
      <c r="C60" s="86" t="inlineStr">
        <is>
          <t>12.8 MB/s ≈ 102 Mbps</t>
        </is>
      </c>
      <c r="D60" s="86" t="inlineStr">
        <is>
          <t>100 MB 约 8 秒；10 人并行 128 MB/s ≈ 1 Gbps，必然拥塞</t>
        </is>
      </c>
      <c r="E60" s="87" t="inlineStr">
        <is>
          <t>内网千兆、单人调试</t>
        </is>
      </c>
    </row>
    <row r="61" ht="30.4" customHeight="1">
      <c r="A61" s="82" t="inlineStr">
        <is>
          <t>P1 均衡（推荐）</t>
        </is>
      </c>
      <c r="B61" s="83" t="inlineStr">
        <is>
          <t>{"asset_send_interval_ms":200,"asset_send_batch_kb":128}</t>
        </is>
      </c>
      <c r="C61" s="83" t="inlineStr">
        <is>
          <t>0.64 MB/s ≈ 5.1 Mbps</t>
        </is>
      </c>
      <c r="D61" s="83" t="inlineStr">
        <is>
          <t>100 MB 约 156 秒；10 人并行 6.4 MB/s ≈ 51 Mbps</t>
        </is>
      </c>
      <c r="E61" s="84" t="inlineStr">
        <is>
          <t>家用千兆上行、10 人以内</t>
        </is>
      </c>
    </row>
    <row r="62" ht="30.4" customHeight="1">
      <c r="A62" s="73" t="inlineStr">
        <is>
          <t>P2 保守</t>
        </is>
      </c>
      <c r="B62" s="74" t="inlineStr">
        <is>
          <t>{"asset_send_interval_ms":400,"asset_send_batch_kb":128}</t>
        </is>
      </c>
      <c r="C62" s="74" t="inlineStr">
        <is>
          <t>0.32 MB/s ≈ 2.6 Mbps</t>
        </is>
      </c>
      <c r="D62" s="74" t="inlineStr">
        <is>
          <t>100 MB 约 313 秒；10 人并行 3.2 MB/s ≈ 26 Mbps</t>
        </is>
      </c>
      <c r="E62" s="75" t="inlineStr">
        <is>
          <t>百兆上行 / 已经有人掉线</t>
        </is>
      </c>
    </row>
    <row r="63" ht="30.4" customHeight="1">
      <c r="A63" s="76" t="inlineStr">
        <is>
          <t>P3 极慢</t>
        </is>
      </c>
      <c r="B63" s="77" t="inlineStr">
        <is>
          <t>{"asset_send_interval_ms":600,"asset_send_batch_kb":64}</t>
        </is>
      </c>
      <c r="C63" s="77" t="inlineStr">
        <is>
          <t>0.107 MB/s ≈ 0.85 Mbps</t>
        </is>
      </c>
      <c r="D63" s="77" t="inlineStr">
        <is>
          <t>100 MB 约 16 分钟；10 人并行 1.07 MB/s ≈ 8.5 Mbps</t>
        </is>
      </c>
      <c r="E63" s="78" t="inlineStr">
        <is>
          <t>移动网络 / 跨境 / 对延迟敏感</t>
        </is>
      </c>
    </row>
    <row r="64" ht="30.4" customHeight="1">
      <c r="A64" s="73" t="inlineStr">
        <is>
          <t>P4 空闲提速</t>
        </is>
      </c>
      <c r="B64" s="74" t="inlineStr">
        <is>
          <t>{"asset_send_interval_ms":60,"asset_send_batch_kb":512}</t>
        </is>
      </c>
      <c r="C64" s="74" t="inlineStr">
        <is>
          <t>8.5 MB/s ≈ 68 Mbps</t>
        </is>
      </c>
      <c r="D64" s="74" t="inlineStr">
        <is>
          <t>100 MB 约 12 秒；仅适合无人编辑的批量同步时段</t>
        </is>
      </c>
      <c r="E64" s="75" t="inlineStr">
        <is>
          <t>夜间批量同步（需手动切换）</t>
        </is>
      </c>
    </row>
    <row r="66" ht="22" customHeight="1">
      <c r="A66" s="68" t="inlineStr">
        <is>
          <t>五、不改代码 · 客户端调参预设（写进 &lt;客户端&gt;/config/bbs/settings/bbs_together.json）</t>
        </is>
      </c>
    </row>
    <row r="67" ht="26" customHeight="1">
      <c r="A67" s="72" t="inlineStr">
        <is>
          <t>预设</t>
        </is>
      </c>
      <c r="B67" s="72" t="inlineStr">
        <is>
          <t>cdn / server 段 JSON</t>
        </is>
      </c>
      <c r="C67" s="72" t="inlineStr">
        <is>
          <t>上传速率</t>
        </is>
      </c>
      <c r="D67" s="72" t="inlineStr">
        <is>
          <t>说明</t>
        </is>
      </c>
      <c r="E67" s="72" t="inlineStr">
        <is>
          <t>适用场景</t>
        </is>
      </c>
    </row>
    <row r="68" ht="83.19999999999999" customHeight="1">
      <c r="A68" s="85" t="inlineStr">
        <is>
          <t>Q0 现状（默认）</t>
        </is>
      </c>
      <c r="B68" s="86" t="inlineStr">
        <is>
          <t>{"cdn":{"download":true,"upload":true,"receive":true},"server":{"auto_sync":true,"asset_upload_interval_ms":200,"asset_upload_batch_kb":512,"asset_max_size_mb":1024}}</t>
        </is>
      </c>
      <c r="C68" s="86" t="inlineStr">
        <is>
          <t>10 MB/s 突发</t>
        </is>
      </c>
      <c r="D68" s="86" t="inlineStr">
        <is>
          <t>收全部推送 + 自动 resync + 全速上传，是最坏组合</t>
        </is>
      </c>
      <c r="E68" s="87" t="inlineStr">
        <is>
          <t>不推荐</t>
        </is>
      </c>
    </row>
    <row r="69" ht="83.19999999999999" customHeight="1">
      <c r="A69" s="82" t="inlineStr">
        <is>
          <t>Q1 推荐</t>
        </is>
      </c>
      <c r="B69" s="83" t="inlineStr">
        <is>
          <t>{"cdn":{"download":true,"upload":true,"receive":false},"server":{"auto_sync":false,"asset_upload_interval_ms":500,"asset_upload_batch_kb":128,"asset_max_size_mb":256}}</t>
        </is>
      </c>
      <c r="C69" s="83" t="inlineStr">
        <is>
          <t>2.56 MB/s</t>
        </is>
      </c>
      <c r="D69" s="83" t="inlineStr">
        <is>
          <t>关推送、关自动同步、上传降 4 倍、单模型限 256 MB</t>
        </is>
      </c>
      <c r="E69" s="84" t="inlineStr">
        <is>
          <t>常规联机</t>
        </is>
      </c>
    </row>
    <row r="70" ht="83.19999999999999" customHeight="1">
      <c r="A70" s="73" t="inlineStr">
        <is>
          <t>Q2 弱网</t>
        </is>
      </c>
      <c r="B70" s="74" t="inlineStr">
        <is>
          <t>{"cdn":{"download":true,"upload":true,"receive":false},"server":{"auto_sync":false,"asset_upload_interval_ms":1000,"asset_upload_batch_kb":30,"asset_max_size_mb":128}}</t>
        </is>
      </c>
      <c r="C70" s="74" t="inlineStr">
        <is>
          <t>0.61 MB/s</t>
        </is>
      </c>
      <c r="D70" s="74" t="inlineStr">
        <is>
          <t>已到设置的物理下限（C:1326 截断在 50 ms），再慢必须改代码</t>
        </is>
      </c>
      <c r="E70" s="75" t="inlineStr">
        <is>
          <t>与 P3 配对</t>
        </is>
      </c>
    </row>
    <row r="72" ht="22" customHeight="1">
      <c r="A72" s="68" t="inlineStr">
        <is>
          <t>六、设置项本身的缺陷，以及建议新增/改造的键（需改代码，供后续排期）</t>
        </is>
      </c>
    </row>
    <row r="73" ht="26" customHeight="1">
      <c r="A73" s="72" t="inlineStr">
        <is>
          <t>类型</t>
        </is>
      </c>
      <c r="B73" s="72" t="inlineStr">
        <is>
          <t>键名 / 位置</t>
        </is>
      </c>
      <c r="C73" s="72" t="inlineStr">
        <is>
          <t>建议（类型 · 默认 · 范围）</t>
        </is>
      </c>
      <c r="D73" s="72" t="inlineStr">
        <is>
          <t>解决的问题</t>
        </is>
      </c>
      <c r="E73" s="72" t="inlineStr">
        <is>
          <t>对应项</t>
        </is>
      </c>
    </row>
    <row r="74" ht="30.4" customHeight="1">
      <c r="A74" s="79" t="inlineStr">
        <is>
          <t>缺陷</t>
        </is>
      </c>
      <c r="B74" s="80" t="inlineStr">
        <is>
          <t>L:30 config.server.tooltip</t>
        </is>
      </c>
      <c r="C74" s="80" t="inlineStr">
        <is>
          <t>改写文案：明确「下发节奏由服务端统一控制」</t>
        </is>
      </c>
      <c r="D74" s="80" t="inlineStr">
        <is>
          <t>玩家在面板改 asset_send_* 无效，却被告知是自己客户端的节奏</t>
        </is>
      </c>
      <c r="E74" s="81" t="inlineStr">
        <is>
          <t>B1</t>
        </is>
      </c>
    </row>
    <row r="75" ht="19" customHeight="1">
      <c r="A75" s="79" t="inlineStr">
        <is>
          <t>缺陷</t>
        </is>
      </c>
      <c r="B75" s="80" t="inlineStr">
        <is>
          <t>T:41-42 cdn.url / cdn.token</t>
        </is>
      </c>
      <c r="C75" s="80" t="inlineStr">
        <is>
          <t>隐藏或标注「未实现」</t>
        </is>
      </c>
      <c r="D75" s="80" t="inlineStr">
        <is>
          <t>界面显示可配 CDN，实际没有任何代码读取</t>
        </is>
      </c>
      <c r="E75" s="81" t="inlineStr">
        <is>
          <t>F1</t>
        </is>
      </c>
    </row>
    <row r="76" ht="19" customHeight="1">
      <c r="A76" s="79" t="inlineStr">
        <is>
          <t>缺陷</t>
        </is>
      </c>
      <c r="B76" s="80" t="inlineStr">
        <is>
          <t>C:1326 Math.min(interval, 50L)</t>
        </is>
      </c>
      <c r="C76" s="80" t="inlineStr">
        <is>
          <t>改为可配的 asset_upload_slice_ms</t>
        </is>
      </c>
      <c r="D76" s="80" t="inlineStr">
        <is>
          <t>上传无法降到 0.6 MB/s 以下，弱网用户仍会打满上行</t>
        </is>
      </c>
      <c r="E76" s="81" t="inlineStr">
        <is>
          <t>B2</t>
        </is>
      </c>
    </row>
    <row r="77" ht="30.4" customHeight="1">
      <c r="A77" s="79" t="inlineStr">
        <is>
          <t>缺陷</t>
        </is>
      </c>
      <c r="B77" s="80" t="inlineStr">
        <is>
          <t>UIUtilityOverlayPanelMixin:36-45</t>
        </is>
      </c>
      <c r="C77" s="80" t="inlineStr">
        <is>
          <t>面板补「限速档位」下拉 + 当前速率显示</t>
        </is>
      </c>
      <c r="D77" s="80" t="inlineStr">
        <is>
          <t>6 个数值键在游戏内无入口，只有 5 个开关</t>
        </is>
      </c>
      <c r="E77" s="81" t="inlineStr">
        <is>
          <t>E1 / B1</t>
        </is>
      </c>
    </row>
    <row r="78" ht="30.4" customHeight="1">
      <c r="A78" s="79" t="inlineStr">
        <is>
          <t>缺陷</t>
        </is>
      </c>
      <c r="B78" s="80" t="inlineStr">
        <is>
          <t>S:88-90 maxAssetBytes()</t>
        </is>
      </c>
      <c r="C78" s="80" t="inlineStr">
        <is>
          <t>改成读服务端配置（asset_server_max_mb）</t>
        </is>
      </c>
      <c r="D78" s="80" t="inlineStr">
        <is>
          <t>2048 MB 硬编码，与客户端 asset_max_size_mb 语义重叠且不可调</t>
        </is>
      </c>
      <c r="E78" s="81" t="inlineStr">
        <is>
          <t>C5</t>
        </is>
      </c>
    </row>
    <row r="79" ht="19" customHeight="1">
      <c r="A79" s="79" t="inlineStr">
        <is>
          <t>缺陷</t>
        </is>
      </c>
      <c r="B79" s="80" t="inlineStr">
        <is>
          <t>L:32 注释「上传不受此限制」</t>
        </is>
      </c>
      <c r="C79" s="80" t="inlineStr">
        <is>
          <t>补客户端上传上限</t>
        </is>
      </c>
      <c r="D79" s="80" t="inlineStr">
        <is>
          <t>上传侧完全没有大小闸门</t>
        </is>
      </c>
      <c r="E79" s="81" t="inlineStr">
        <is>
          <t>C5</t>
        </is>
      </c>
    </row>
    <row r="80" ht="30.4" customHeight="1">
      <c r="A80" s="88" t="inlineStr">
        <is>
          <t>建议新增</t>
        </is>
      </c>
      <c r="B80" s="89" t="inlineStr">
        <is>
          <t>server.asset_send_total_kbps</t>
        </is>
      </c>
      <c r="C80" s="89" t="inlineStr">
        <is>
          <t>Int · 0=不限 · 默认 0（0 表示沿用现有 sleep 模型）</t>
        </is>
      </c>
      <c r="D80" s="89" t="inlineStr">
        <is>
          <t>全局出口令牌桶，取代「N × 每人速率」的心算</t>
        </is>
      </c>
      <c r="E80" s="90" t="inlineStr">
        <is>
          <t>B1</t>
        </is>
      </c>
    </row>
    <row r="81" ht="19" customHeight="1">
      <c r="A81" s="88" t="inlineStr">
        <is>
          <t>建议新增</t>
        </is>
      </c>
      <c r="B81" s="89" t="inlineStr">
        <is>
          <t>server.asset_send_window_kb</t>
        </is>
      </c>
      <c r="C81" s="89" t="inlineStr">
        <is>
          <t>Int · 0=关 · 默认 0</t>
        </is>
      </c>
      <c r="D81" s="89" t="inlineStr">
        <is>
          <t>ACK 窗口流控的灰度开关</t>
        </is>
      </c>
      <c r="E81" s="90" t="inlineStr">
        <is>
          <t>B2</t>
        </is>
      </c>
    </row>
    <row r="82" ht="30.4" customHeight="1">
      <c r="A82" s="88" t="inlineStr">
        <is>
          <t>建议新增</t>
        </is>
      </c>
      <c r="B82" s="89" t="inlineStr">
        <is>
          <t>server.asset_push_mode</t>
        </is>
      </c>
      <c r="C82" s="89" t="inlineStr">
        <is>
          <t>Int · 0=off / 1=仅通知 / 2=全量 · 默认 1</t>
        </is>
      </c>
      <c r="D82" s="89" t="inlineStr">
        <is>
          <t>把推送语义搬到服务端，替掉客户端 receive 上报这种「把服务端行为交给客户端」的做法</t>
        </is>
      </c>
      <c r="E82" s="90" t="inlineStr">
        <is>
          <t>B4</t>
        </is>
      </c>
    </row>
    <row r="83" ht="19" customHeight="1">
      <c r="A83" s="88" t="inlineStr">
        <is>
          <t>建议新增</t>
        </is>
      </c>
      <c r="B83" s="89" t="inlineStr">
        <is>
          <t>client.asset_max_upload_mb</t>
        </is>
      </c>
      <c r="C83" s="89" t="inlineStr">
        <is>
          <t>Int · 默认 256 · 16–2048</t>
        </is>
      </c>
      <c r="D83" s="89" t="inlineStr">
        <is>
          <t>补上传侧上限</t>
        </is>
      </c>
      <c r="E83" s="90" t="inlineStr">
        <is>
          <t>C5</t>
        </is>
      </c>
    </row>
    <row r="84" ht="19" customHeight="1">
      <c r="A84" s="88" t="inlineStr">
        <is>
          <t>建议新增</t>
        </is>
      </c>
      <c r="B84" s="89" t="inlineStr">
        <is>
          <t>server.asset_server_max_mb</t>
        </is>
      </c>
      <c r="C84" s="89" t="inlineStr">
        <is>
          <t>Int · 默认 2048</t>
        </is>
      </c>
      <c r="D84" s="89" t="inlineStr">
        <is>
          <t>把 S:88 的硬编码挪进配置</t>
        </is>
      </c>
      <c r="E84" s="90" t="inlineStr">
        <is>
          <t>C5</t>
        </is>
      </c>
    </row>
    <row r="85" ht="19" customHeight="1">
      <c r="A85" s="88" t="inlineStr">
        <is>
          <t>建议新增</t>
        </is>
      </c>
      <c r="B85" s="89" t="inlineStr">
        <is>
          <t>asset_resume_enabled</t>
        </is>
      </c>
      <c r="C85" s="89" t="inlineStr">
        <is>
          <t>Bool · 默认 true</t>
        </is>
      </c>
      <c r="D85" s="89" t="inlineStr">
        <is>
          <t>断点续传总开关（配合已有 .bbspart）</t>
        </is>
      </c>
      <c r="E85" s="90" t="inlineStr">
        <is>
          <t>C1</t>
        </is>
      </c>
    </row>
    <row r="86" ht="30.4" customHeight="1">
      <c r="A86" s="88" t="inlineStr">
        <is>
          <t>建议新增</t>
        </is>
      </c>
      <c r="B86" s="89" t="inlineStr">
        <is>
          <t>asset_compress_policy</t>
        </is>
      </c>
      <c r="C86" s="89" t="inlineStr">
        <is>
          <t>Int · 0=auto / 1=off / 2=always · 默认 0</t>
        </is>
      </c>
      <c r="D86" s="89" t="inlineStr">
        <is>
          <t>按类型压缩的灰度开关</t>
        </is>
      </c>
      <c r="E86" s="90" t="inlineStr">
        <is>
          <t>C3</t>
        </is>
      </c>
    </row>
    <row r="87" ht="19" customHeight="1">
      <c r="A87" s="88" t="inlineStr">
        <is>
          <t>建议新增</t>
        </is>
      </c>
      <c r="B87" s="89" t="inlineStr">
        <is>
          <t>asset_manifest_delta</t>
        </is>
      </c>
      <c r="C87" s="89" t="inlineStr">
        <is>
          <t>Bool · 默认 false（先关、灰度再开）</t>
        </is>
      </c>
      <c r="D87" s="89" t="inlineStr">
        <is>
          <t>A3/A4 增量清单的开关</t>
        </is>
      </c>
      <c r="E87" s="90" t="inlineStr">
        <is>
          <t>A3 / A4</t>
        </is>
      </c>
    </row>
    <row r="88" ht="19" customHeight="1">
      <c r="A88" s="88" t="inlineStr">
        <is>
          <t>建议新增</t>
        </is>
      </c>
      <c r="B88" s="89" t="inlineStr">
        <is>
          <t>client.asset_upload_slice_ms</t>
        </is>
      </c>
      <c r="C88" s="89" t="inlineStr">
        <is>
          <t>Int · 默认 50 · 0–1000</t>
        </is>
      </c>
      <c r="D88" s="89" t="inlineStr">
        <is>
          <t>让上传限速真的能降下来</t>
        </is>
      </c>
      <c r="E88" s="90" t="inlineStr">
        <is>
          <t>B2</t>
        </is>
      </c>
    </row>
    <row r="89" ht="30.4" customHeight="1">
      <c r="A89" s="88" t="inlineStr">
        <is>
          <t>建议新增</t>
        </is>
      </c>
      <c r="B89" s="89" t="inlineStr">
        <is>
          <t>asset_bandwidth_profile</t>
        </is>
      </c>
      <c r="C89" s="89" t="inlineStr">
        <is>
          <t>Int · 0=省流 / 1=均衡 / 2=极速 · 默认 1</t>
        </is>
      </c>
      <c r="D89" s="89" t="inlineStr">
        <is>
          <t>一个下拉同时写 interval + batch，玩家不用理解毫秒与 KB</t>
        </is>
      </c>
      <c r="E89" s="90" t="inlineStr">
        <is>
          <t>B1 / B3</t>
        </is>
      </c>
    </row>
    <row r="90" ht="30.4" customHeight="1">
      <c r="A90" s="88" t="inlineStr">
        <is>
          <t>建议改造</t>
        </is>
      </c>
      <c r="B90" s="89" t="inlineStr">
        <is>
          <t>UIUtilityOverlayPanelMixin</t>
        </is>
      </c>
      <c r="C90" s="89" t="inlineStr">
        <is>
          <t>档位下拉 + 「当前速率上限」只读显示 + 队列积压提示</t>
        </is>
      </c>
      <c r="D90" s="89" t="inlineStr">
        <is>
          <t>让选项可发现、可解释，减少「调了没用」的困惑</t>
        </is>
      </c>
      <c r="E90" s="90" t="inlineStr">
        <is>
          <t>E1</t>
        </is>
      </c>
    </row>
    <row r="92" ht="40" customHeight="1">
      <c r="A92" s="67" t="inlineStr">
        <is>
          <t>合计：现有设置可直接覆盖 4 项（B3 / B4 / C5 / D1），部分缓解 3 项（D2 / D3 / C4），18 项无任何设置入口。不改代码能立刻做的只有两件事：服务端把 40/512 改成 200/128，客户端把 receive / auto_sync 关掉并把上传 batch 降到 128。—— 更根本的（全局预算、ACK 窗口、续传、压缩、增量清单、CDN 通道）都要动代码。</t>
        </is>
      </c>
    </row>
    <row r="94" ht="30" customHeight="1">
      <c r="A94" s="96" t="inlineStr">
        <is>
          <t>【2026-10-15 更新 · 默认值已改为“跑满链路”】</t>
        </is>
      </c>
    </row>
    <row r="95" ht="46" customHeight="1">
      <c r="A95" s="97" t="inlineStr">
        <is>
          <t>服务端出口：asset_egress_kbps 默认 0（不限速，原 512/2048 共享总闸）；下发节奏 asset_send_interval_ms 10 + asset_send_batch_kb 1024（原 40 + 512，即每人 12.8 MB/s 上限）。</t>
        </is>
      </c>
    </row>
    <row r="96" ht="46" customHeight="1">
      <c r="A96" s="97" t="inlineStr">
        <is>
          <t>客户端上传：asset_upload_kbps 默认 0（不限速，原 4096）；asset_upload_interval_ms 10 + asset_upload_batch_kb 4096（原 200 + 512），并删除“每文件等 200 ms”的旧节流。</t>
        </is>
      </c>
    </row>
    <row r="97" ht="46" customHeight="1">
      <c r="A97" s="97" t="inlineStr">
        <is>
          <t>本页第二、四、五节的 P0–P4 / Q0–Q2 数值是改动前的历史参考；现在的默认值相当于“不限速档”，需要限速时按第四节把它们填回去即可。</t>
        </is>
      </c>
    </row>
  </sheetData>
  <mergeCells count="18">
    <mergeCell ref="A29:E29"/>
    <mergeCell ref="A4:E4"/>
    <mergeCell ref="A58:E58"/>
    <mergeCell ref="A95:E95"/>
    <mergeCell ref="A96:E96"/>
    <mergeCell ref="A2:E2"/>
    <mergeCell ref="A72:E72"/>
    <mergeCell ref="A7:E7"/>
    <mergeCell ref="A10:E10"/>
    <mergeCell ref="A66:E66"/>
    <mergeCell ref="A1:E1"/>
    <mergeCell ref="A5:E5"/>
    <mergeCell ref="A94:E94"/>
    <mergeCell ref="A8:E8"/>
    <mergeCell ref="A6:E6"/>
    <mergeCell ref="A97:E97"/>
    <mergeCell ref="A27:E27"/>
    <mergeCell ref="A92:E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2026-10-17T08:41:20Z</dcterms:created>
  <dcterms:modified xmlns:dcterms="http://purl.org/dc/terms/" xmlns:xsi="http://www.w3.org/2001/XMLSchema-instance" xsi:type="dcterms:W3CDTF">2026-10-17T09:15:24Z</dcterms:modified>
</cp:coreProperties>
</file>